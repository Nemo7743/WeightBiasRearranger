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goa\NCU\專題\專題內容\組譯器\WeightBiasRearranger\V9_W8_B32\data_instructions\VLIW_Excel\"/>
    </mc:Choice>
  </mc:AlternateContent>
  <xr:revisionPtr revIDLastSave="0" documentId="13_ncr:1_{186387A3-0AC8-4282-AC67-5740690169CF}" xr6:coauthVersionLast="47" xr6:coauthVersionMax="47" xr10:uidLastSave="{00000000-0000-0000-0000-000000000000}"/>
  <bookViews>
    <workbookView xWindow="10718" yWindow="0" windowWidth="10965" windowHeight="12863" xr2:uid="{8075A957-5B64-468D-B2D4-F19799456396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53" i="1" l="1"/>
  <c r="N135" i="1"/>
  <c r="N118" i="1"/>
  <c r="N102" i="1"/>
  <c r="N86" i="1"/>
  <c r="N69" i="1"/>
  <c r="N53" i="1"/>
  <c r="N37" i="1"/>
  <c r="Q130" i="1"/>
  <c r="Q125" i="1"/>
  <c r="Q113" i="1"/>
  <c r="Q108" i="1"/>
  <c r="Q97" i="1"/>
  <c r="Q92" i="1"/>
  <c r="Q81" i="1"/>
  <c r="Q76" i="1"/>
  <c r="Q64" i="1"/>
  <c r="Q59" i="1"/>
  <c r="Q48" i="1"/>
  <c r="Q43" i="1"/>
  <c r="Q32" i="1"/>
  <c r="Q27" i="1"/>
  <c r="Q15" i="1"/>
  <c r="Q10" i="1"/>
</calcChain>
</file>

<file path=xl/sharedStrings.xml><?xml version="1.0" encoding="utf-8"?>
<sst xmlns="http://schemas.openxmlformats.org/spreadsheetml/2006/main" count="897" uniqueCount="103">
  <si>
    <t>OP_Code</t>
    <phoneticPr fontId="1" type="noConversion"/>
  </si>
  <si>
    <t>core_en [6]</t>
    <phoneticPr fontId="1" type="noConversion"/>
  </si>
  <si>
    <t>NoC_en [3]</t>
    <phoneticPr fontId="1" type="noConversion"/>
  </si>
  <si>
    <t>PreP_en[1]</t>
    <phoneticPr fontId="1" type="noConversion"/>
  </si>
  <si>
    <t>PosP_en[1]</t>
    <phoneticPr fontId="1" type="noConversion"/>
  </si>
  <si>
    <t>Core</t>
    <phoneticPr fontId="1" type="noConversion"/>
  </si>
  <si>
    <t>mode[3]</t>
    <phoneticPr fontId="1" type="noConversion"/>
  </si>
  <si>
    <t>stride_X[2]</t>
    <phoneticPr fontId="1" type="noConversion"/>
  </si>
  <si>
    <t>ReLU[1]</t>
    <phoneticPr fontId="1" type="noConversion"/>
  </si>
  <si>
    <t>AGU_W_offset[12]</t>
    <phoneticPr fontId="1" type="noConversion"/>
  </si>
  <si>
    <t>AGU_B_offset[8]</t>
    <phoneticPr fontId="1" type="noConversion"/>
  </si>
  <si>
    <t>width_in[7]</t>
    <phoneticPr fontId="1" type="noConversion"/>
  </si>
  <si>
    <t>width_out[7]</t>
    <phoneticPr fontId="1" type="noConversion"/>
  </si>
  <si>
    <t>ch_in[8]</t>
    <phoneticPr fontId="1" type="noConversion"/>
  </si>
  <si>
    <t>ch_out[8]</t>
    <phoneticPr fontId="1" type="noConversion"/>
  </si>
  <si>
    <t>TBO</t>
    <phoneticPr fontId="1" type="noConversion"/>
  </si>
  <si>
    <t>tile_assign[20]</t>
    <phoneticPr fontId="1" type="noConversion"/>
  </si>
  <si>
    <t>NoC</t>
    <phoneticPr fontId="1" type="noConversion"/>
  </si>
  <si>
    <t>input_AGU_G_offset[14]</t>
    <phoneticPr fontId="1" type="noConversion"/>
  </si>
  <si>
    <t>input_AGU_T_initial[8]</t>
    <phoneticPr fontId="1" type="noConversion"/>
  </si>
  <si>
    <t>output_AGU_G_offset[14]</t>
    <phoneticPr fontId="1" type="noConversion"/>
  </si>
  <si>
    <t>output_AGU_T_initial[8]</t>
    <phoneticPr fontId="1" type="noConversion"/>
  </si>
  <si>
    <t>tile_buffer_idx</t>
    <phoneticPr fontId="1" type="noConversion"/>
  </si>
  <si>
    <t>PreP</t>
    <phoneticPr fontId="1" type="noConversion"/>
  </si>
  <si>
    <t>input tile</t>
    <phoneticPr fontId="1" type="noConversion"/>
  </si>
  <si>
    <t>load</t>
    <phoneticPr fontId="1" type="noConversion"/>
  </si>
  <si>
    <t>X</t>
    <phoneticPr fontId="1" type="noConversion"/>
  </si>
  <si>
    <t>0000_00</t>
    <phoneticPr fontId="1" type="noConversion"/>
  </si>
  <si>
    <t>100</t>
    <phoneticPr fontId="1" type="noConversion"/>
  </si>
  <si>
    <t>0</t>
    <phoneticPr fontId="1" type="noConversion"/>
  </si>
  <si>
    <t>004000_0</t>
    <phoneticPr fontId="1" type="noConversion"/>
  </si>
  <si>
    <t>1</t>
    <phoneticPr fontId="1" type="noConversion"/>
  </si>
  <si>
    <t>000400_0</t>
    <phoneticPr fontId="1" type="noConversion"/>
  </si>
  <si>
    <t>DW</t>
    <phoneticPr fontId="1" type="noConversion"/>
  </si>
  <si>
    <t>O</t>
    <phoneticPr fontId="1" type="noConversion"/>
  </si>
  <si>
    <t>1111_11</t>
    <phoneticPr fontId="1" type="noConversion"/>
  </si>
  <si>
    <t>000</t>
    <phoneticPr fontId="1" type="noConversion"/>
  </si>
  <si>
    <t>2</t>
    <phoneticPr fontId="1" type="noConversion"/>
  </si>
  <si>
    <t>15</t>
    <phoneticPr fontId="1" type="noConversion"/>
  </si>
  <si>
    <t>002306_0</t>
    <phoneticPr fontId="1" type="noConversion"/>
  </si>
  <si>
    <t>[0]</t>
    <phoneticPr fontId="1" type="noConversion"/>
  </si>
  <si>
    <t>Δ</t>
    <phoneticPr fontId="1" type="noConversion"/>
  </si>
  <si>
    <t>101</t>
    <phoneticPr fontId="1" type="noConversion"/>
  </si>
  <si>
    <t>000045_0</t>
    <phoneticPr fontId="1" type="noConversion"/>
  </si>
  <si>
    <t>PW</t>
    <phoneticPr fontId="1" type="noConversion"/>
  </si>
  <si>
    <t>3</t>
    <phoneticPr fontId="1" type="noConversion"/>
  </si>
  <si>
    <t>004001_1</t>
    <phoneticPr fontId="1" type="noConversion"/>
  </si>
  <si>
    <t>16-1</t>
    <phoneticPr fontId="1" type="noConversion"/>
  </si>
  <si>
    <t>010</t>
    <phoneticPr fontId="1" type="noConversion"/>
  </si>
  <si>
    <t>003126_2</t>
    <phoneticPr fontId="1" type="noConversion"/>
  </si>
  <si>
    <t>000405_0</t>
    <phoneticPr fontId="1" type="noConversion"/>
  </si>
  <si>
    <t>000041_1</t>
    <phoneticPr fontId="1" type="noConversion"/>
  </si>
  <si>
    <t>001236_2</t>
    <phoneticPr fontId="1" type="noConversion"/>
  </si>
  <si>
    <t>004005_0</t>
    <phoneticPr fontId="1" type="noConversion"/>
  </si>
  <si>
    <t>000401_1</t>
    <phoneticPr fontId="1" type="noConversion"/>
  </si>
  <si>
    <t>002316_2</t>
    <phoneticPr fontId="1" type="noConversion"/>
  </si>
  <si>
    <t>[1]</t>
    <phoneticPr fontId="1" type="noConversion"/>
  </si>
  <si>
    <t>[2]</t>
    <phoneticPr fontId="1" type="noConversion"/>
  </si>
  <si>
    <t>cycle</t>
    <phoneticPr fontId="1" type="noConversion"/>
  </si>
  <si>
    <t>001</t>
    <phoneticPr fontId="1" type="noConversion"/>
  </si>
  <si>
    <t>000005_0</t>
    <phoneticPr fontId="1" type="noConversion"/>
  </si>
  <si>
    <t>000001_1</t>
    <phoneticPr fontId="1" type="noConversion"/>
  </si>
  <si>
    <t>output</t>
    <phoneticPr fontId="1" type="noConversion"/>
  </si>
  <si>
    <t>000000_2</t>
    <phoneticPr fontId="1" type="noConversion"/>
  </si>
  <si>
    <t>16/2-1</t>
    <phoneticPr fontId="1" type="noConversion"/>
  </si>
  <si>
    <t>7</t>
    <phoneticPr fontId="1" type="noConversion"/>
  </si>
  <si>
    <t>48/4-1</t>
    <phoneticPr fontId="1" type="noConversion"/>
  </si>
  <si>
    <t>11</t>
    <phoneticPr fontId="1" type="noConversion"/>
  </si>
  <si>
    <t>8-1</t>
    <phoneticPr fontId="1" type="noConversion"/>
  </si>
  <si>
    <t>0</t>
    <phoneticPr fontId="1" type="noConversion"/>
  </si>
  <si>
    <t>out tile</t>
    <phoneticPr fontId="1" type="noConversion"/>
  </si>
  <si>
    <t>16*(48/4)*0</t>
    <phoneticPr fontId="1" type="noConversion"/>
  </si>
  <si>
    <t>16*(48/4)*1</t>
    <phoneticPr fontId="1" type="noConversion"/>
  </si>
  <si>
    <t>16*(48/4)*2</t>
    <phoneticPr fontId="1" type="noConversion"/>
  </si>
  <si>
    <t>16*(48/4)*3</t>
    <phoneticPr fontId="1" type="noConversion"/>
  </si>
  <si>
    <t>16*(48/4)*4</t>
    <phoneticPr fontId="1" type="noConversion"/>
  </si>
  <si>
    <t>16*(48/4)*5</t>
    <phoneticPr fontId="1" type="noConversion"/>
  </si>
  <si>
    <t>16*(48/4)*6</t>
    <phoneticPr fontId="1" type="noConversion"/>
  </si>
  <si>
    <t>16*(48/4)*7</t>
    <phoneticPr fontId="1" type="noConversion"/>
  </si>
  <si>
    <t>16*(48/4)*8</t>
    <phoneticPr fontId="1" type="noConversion"/>
  </si>
  <si>
    <t>16*(48/4)*9</t>
    <phoneticPr fontId="1" type="noConversion"/>
  </si>
  <si>
    <t>16*(48/4)*10</t>
    <phoneticPr fontId="1" type="noConversion"/>
  </si>
  <si>
    <t>16*(48/4)*11</t>
    <phoneticPr fontId="1" type="noConversion"/>
  </si>
  <si>
    <t>16*(48/4)*12</t>
    <phoneticPr fontId="1" type="noConversion"/>
  </si>
  <si>
    <t>16*(48/4)*13</t>
    <phoneticPr fontId="1" type="noConversion"/>
  </si>
  <si>
    <t>16*(48/4)*14</t>
    <phoneticPr fontId="1" type="noConversion"/>
  </si>
  <si>
    <t>16*(48/4)*15</t>
    <phoneticPr fontId="1" type="noConversion"/>
  </si>
  <si>
    <t>ch out chk</t>
    <phoneticPr fontId="1" type="noConversion"/>
  </si>
  <si>
    <t>6</t>
    <phoneticPr fontId="1" type="noConversion"/>
  </si>
  <si>
    <t>8/4-1</t>
    <phoneticPr fontId="1" type="noConversion"/>
  </si>
  <si>
    <t>Padding[1]</t>
    <phoneticPr fontId="1" type="noConversion"/>
  </si>
  <si>
    <t>0</t>
    <phoneticPr fontId="1" type="noConversion"/>
  </si>
  <si>
    <t>PreP_buffer_initial[1]</t>
    <phoneticPr fontId="1" type="noConversion"/>
  </si>
  <si>
    <t>8*(96/4)*0</t>
    <phoneticPr fontId="1" type="noConversion"/>
  </si>
  <si>
    <t>8*(96/4)*1</t>
    <phoneticPr fontId="1" type="noConversion"/>
  </si>
  <si>
    <t>8*(96/4)*2</t>
    <phoneticPr fontId="1" type="noConversion"/>
  </si>
  <si>
    <t>8*(96/4)*3</t>
    <phoneticPr fontId="1" type="noConversion"/>
  </si>
  <si>
    <t>8*(96/4)*4</t>
    <phoneticPr fontId="1" type="noConversion"/>
  </si>
  <si>
    <t>8*(96/4)*5</t>
    <phoneticPr fontId="1" type="noConversion"/>
  </si>
  <si>
    <t>8*(96/4)*6</t>
    <phoneticPr fontId="1" type="noConversion"/>
  </si>
  <si>
    <t>8*(96/4)*7</t>
    <phoneticPr fontId="1" type="noConversion"/>
  </si>
  <si>
    <t>0</t>
    <phoneticPr fontId="1" type="noConversion"/>
  </si>
  <si>
    <t>Requant_Sel[3]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</si>
</sst>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9" tint="0.39997558519241921"/>
      <name val="新細明體"/>
      <family val="1"/>
      <charset val="136"/>
      <scheme val="minor"/>
    </font>
    <font>
      <sz val="12"/>
      <color theme="4" tint="0.3999755851924192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9" tint="0.39997558519241921"/>
      <name val="Calibri"/>
      <family val="2"/>
    </font>
    <font>
      <sz val="12"/>
      <color theme="9" tint="0.59999389629810485"/>
      <name val="Calibri"/>
      <family val="2"/>
    </font>
    <font>
      <sz val="12"/>
      <color theme="8" tint="-0.249977111117893"/>
      <name val="新細明體"/>
      <family val="1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4" borderId="2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2" xfId="0" applyFill="1" applyBorder="1">
      <alignment vertical="center"/>
    </xf>
    <xf numFmtId="0" fontId="0" fillId="0" borderId="2" xfId="0" applyBorder="1">
      <alignment vertical="center"/>
    </xf>
    <xf numFmtId="0" fontId="0" fillId="6" borderId="2" xfId="0" applyFill="1" applyBorder="1">
      <alignment vertical="center"/>
    </xf>
    <xf numFmtId="0" fontId="0" fillId="6" borderId="3" xfId="0" applyFill="1" applyBorder="1">
      <alignment vertical="center"/>
    </xf>
    <xf numFmtId="49" fontId="0" fillId="2" borderId="1" xfId="0" applyNumberFormat="1" applyFill="1" applyBorder="1">
      <alignment vertical="center"/>
    </xf>
    <xf numFmtId="49" fontId="0" fillId="0" borderId="0" xfId="0" applyNumberFormat="1">
      <alignment vertical="center"/>
    </xf>
    <xf numFmtId="49" fontId="0" fillId="3" borderId="2" xfId="0" applyNumberFormat="1" applyFill="1" applyBorder="1">
      <alignment vertical="center"/>
    </xf>
    <xf numFmtId="49" fontId="0" fillId="4" borderId="2" xfId="0" applyNumberFormat="1" applyFill="1" applyBorder="1">
      <alignment vertical="center"/>
    </xf>
    <xf numFmtId="49" fontId="0" fillId="4" borderId="1" xfId="0" applyNumberFormat="1" applyFill="1" applyBorder="1">
      <alignment vertical="center"/>
    </xf>
    <xf numFmtId="49" fontId="0" fillId="5" borderId="2" xfId="0" applyNumberFormat="1" applyFill="1" applyBorder="1">
      <alignment vertical="center"/>
    </xf>
    <xf numFmtId="49" fontId="0" fillId="6" borderId="2" xfId="0" applyNumberFormat="1" applyFill="1" applyBorder="1">
      <alignment vertical="center"/>
    </xf>
    <xf numFmtId="49" fontId="0" fillId="6" borderId="3" xfId="0" applyNumberFormat="1" applyFill="1" applyBorder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5" borderId="2" xfId="0" applyNumberFormat="1" applyFill="1" applyBorder="1">
      <alignment vertical="center"/>
    </xf>
    <xf numFmtId="0" fontId="0" fillId="7" borderId="0" xfId="0" applyFill="1">
      <alignment vertical="center"/>
    </xf>
    <xf numFmtId="0" fontId="0" fillId="0" borderId="2" xfId="0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3F91F-D68B-463F-AAFE-1AFFC057F94D}">
  <dimension ref="A1:V154"/>
  <sheetViews>
    <sheetView tabSelected="1" zoomScale="55" zoomScaleNormal="55" workbookViewId="0">
      <selection activeCell="N5" sqref="N5"/>
    </sheetView>
  </sheetViews>
  <sheetFormatPr defaultRowHeight="16.149999999999999" x14ac:dyDescent="0.45"/>
  <cols>
    <col min="1" max="1" width="4.796875" customWidth="1"/>
    <col min="3" max="3" width="12.46484375" customWidth="1"/>
    <col min="4" max="10" width="2.59765625" customWidth="1"/>
    <col min="11" max="11" width="2.33203125" customWidth="1"/>
    <col min="12" max="12" width="8.73046875" customWidth="1"/>
    <col min="13" max="13" width="18.33203125" customWidth="1"/>
    <col min="14" max="14" width="21.53125" customWidth="1"/>
    <col min="15" max="15" width="20.796875" customWidth="1"/>
    <col min="16" max="16" width="17.33203125" customWidth="1"/>
    <col min="17" max="17" width="22.53125" customWidth="1"/>
    <col min="18" max="18" width="21.19921875" customWidth="1"/>
    <col min="19" max="19" width="11" customWidth="1"/>
    <col min="20" max="20" width="7.265625" customWidth="1"/>
    <col min="21" max="21" width="8.53125" customWidth="1"/>
  </cols>
  <sheetData>
    <row r="1" spans="2:22" x14ac:dyDescent="0.45">
      <c r="L1" s="1" t="s">
        <v>0</v>
      </c>
      <c r="M1" s="1" t="s">
        <v>1</v>
      </c>
      <c r="N1" s="1" t="s">
        <v>2</v>
      </c>
      <c r="O1" s="1" t="s">
        <v>3</v>
      </c>
      <c r="P1" s="1" t="s">
        <v>4</v>
      </c>
    </row>
    <row r="2" spans="2:22" x14ac:dyDescent="0.45">
      <c r="L2" s="2" t="s">
        <v>5</v>
      </c>
      <c r="M2" s="2" t="s">
        <v>6</v>
      </c>
      <c r="N2" s="2" t="s">
        <v>7</v>
      </c>
      <c r="O2" s="2" t="s">
        <v>8</v>
      </c>
      <c r="P2" s="2" t="s">
        <v>90</v>
      </c>
      <c r="Q2" s="2" t="s">
        <v>9</v>
      </c>
      <c r="R2" s="2" t="s">
        <v>10</v>
      </c>
      <c r="S2" s="2" t="s">
        <v>11</v>
      </c>
      <c r="T2" s="2" t="s">
        <v>12</v>
      </c>
      <c r="U2" s="2" t="s">
        <v>13</v>
      </c>
      <c r="V2" s="2" t="s">
        <v>14</v>
      </c>
    </row>
    <row r="3" spans="2:22" x14ac:dyDescent="0.45">
      <c r="L3" s="3" t="s">
        <v>15</v>
      </c>
      <c r="M3" s="4" t="s">
        <v>16</v>
      </c>
    </row>
    <row r="4" spans="2:22" x14ac:dyDescent="0.45">
      <c r="L4" s="5" t="s">
        <v>17</v>
      </c>
      <c r="M4" s="5"/>
      <c r="N4" s="5" t="s">
        <v>18</v>
      </c>
      <c r="O4" s="5" t="s">
        <v>19</v>
      </c>
      <c r="P4" s="5"/>
      <c r="Q4" s="5" t="s">
        <v>20</v>
      </c>
      <c r="R4" s="5" t="s">
        <v>21</v>
      </c>
    </row>
    <row r="5" spans="2:22" x14ac:dyDescent="0.45">
      <c r="C5" s="6" t="s">
        <v>22</v>
      </c>
      <c r="D5" s="6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L5" s="7" t="s">
        <v>23</v>
      </c>
      <c r="M5" s="8" t="s">
        <v>92</v>
      </c>
      <c r="N5" s="7" t="s">
        <v>102</v>
      </c>
    </row>
    <row r="7" spans="2:22" x14ac:dyDescent="0.45">
      <c r="B7" s="6" t="s">
        <v>24</v>
      </c>
      <c r="C7" s="23" t="s">
        <v>25</v>
      </c>
      <c r="D7" s="23"/>
      <c r="E7" s="23"/>
      <c r="F7" s="29" t="s">
        <v>26</v>
      </c>
      <c r="G7" s="23"/>
      <c r="H7" s="23"/>
      <c r="I7" s="23"/>
      <c r="J7" s="23"/>
      <c r="L7" s="9" t="s">
        <v>0</v>
      </c>
      <c r="M7" s="9" t="s">
        <v>27</v>
      </c>
      <c r="N7" s="9" t="s">
        <v>28</v>
      </c>
      <c r="O7" s="9" t="s">
        <v>29</v>
      </c>
      <c r="P7" s="9" t="s">
        <v>29</v>
      </c>
      <c r="Q7" s="10"/>
      <c r="R7" s="10"/>
      <c r="S7" s="10"/>
      <c r="T7" s="10"/>
      <c r="U7" s="10"/>
    </row>
    <row r="8" spans="2:22" x14ac:dyDescent="0.45">
      <c r="B8">
        <v>0</v>
      </c>
      <c r="C8" s="23"/>
      <c r="D8" s="23"/>
      <c r="E8" s="23"/>
      <c r="F8" s="29"/>
      <c r="G8" s="23"/>
      <c r="H8" s="23"/>
      <c r="I8" s="23"/>
      <c r="J8" s="23"/>
      <c r="L8" s="11" t="s">
        <v>5</v>
      </c>
      <c r="M8" s="11" t="s">
        <v>26</v>
      </c>
      <c r="N8" s="11" t="s">
        <v>26</v>
      </c>
      <c r="O8" s="11" t="s">
        <v>26</v>
      </c>
      <c r="P8" s="11">
        <v>0</v>
      </c>
      <c r="Q8" s="11" t="s">
        <v>26</v>
      </c>
      <c r="R8" s="11" t="s">
        <v>26</v>
      </c>
      <c r="S8" s="11" t="s">
        <v>26</v>
      </c>
      <c r="T8" s="11" t="s">
        <v>26</v>
      </c>
      <c r="U8" s="11" t="s">
        <v>26</v>
      </c>
      <c r="V8" s="11" t="s">
        <v>26</v>
      </c>
    </row>
    <row r="9" spans="2:22" x14ac:dyDescent="0.45">
      <c r="C9" s="23"/>
      <c r="D9" s="23"/>
      <c r="E9" s="23"/>
      <c r="F9" s="29"/>
      <c r="G9" s="23"/>
      <c r="H9" s="23"/>
      <c r="I9" s="23"/>
      <c r="J9" s="23"/>
      <c r="L9" s="12" t="s">
        <v>15</v>
      </c>
      <c r="M9" s="13" t="s">
        <v>30</v>
      </c>
      <c r="N9" s="10"/>
      <c r="O9" s="10"/>
      <c r="P9" s="10"/>
      <c r="Q9" s="10"/>
      <c r="R9" s="10"/>
      <c r="S9" s="10"/>
      <c r="T9" s="10"/>
      <c r="U9" s="10"/>
    </row>
    <row r="10" spans="2:22" x14ac:dyDescent="0.45">
      <c r="C10" s="23"/>
      <c r="D10" s="23"/>
      <c r="E10" s="23"/>
      <c r="F10" s="29"/>
      <c r="G10" s="23"/>
      <c r="H10" s="23"/>
      <c r="I10" s="23"/>
      <c r="J10" s="23"/>
      <c r="L10" s="14" t="s">
        <v>17</v>
      </c>
      <c r="M10" s="14"/>
      <c r="N10" s="14" t="s">
        <v>26</v>
      </c>
      <c r="O10" s="14" t="s">
        <v>26</v>
      </c>
      <c r="P10" s="14"/>
      <c r="Q10" s="21">
        <f>16*(48/4)*B8</f>
        <v>0</v>
      </c>
      <c r="R10" s="14" t="s">
        <v>26</v>
      </c>
      <c r="S10" s="10"/>
      <c r="T10" s="10"/>
      <c r="U10" s="10"/>
    </row>
    <row r="11" spans="2:22" x14ac:dyDescent="0.45">
      <c r="C11" s="23"/>
      <c r="D11" s="23"/>
      <c r="E11" s="23"/>
      <c r="F11" s="29"/>
      <c r="G11" s="23"/>
      <c r="H11" s="23"/>
      <c r="I11" s="23"/>
      <c r="J11" s="23"/>
      <c r="L11" s="15" t="s">
        <v>23</v>
      </c>
      <c r="M11" s="16" t="s">
        <v>26</v>
      </c>
      <c r="N11" s="10"/>
      <c r="O11" s="10"/>
      <c r="P11" s="10"/>
      <c r="Q11" s="10" t="s">
        <v>71</v>
      </c>
      <c r="R11" s="10"/>
      <c r="S11" s="10"/>
      <c r="T11" s="10"/>
      <c r="U11" s="10"/>
    </row>
    <row r="12" spans="2:22" x14ac:dyDescent="0.45">
      <c r="B12" s="6" t="s">
        <v>24</v>
      </c>
      <c r="C12" s="23" t="s">
        <v>25</v>
      </c>
      <c r="D12" s="23"/>
      <c r="E12" s="23"/>
      <c r="F12" s="23" t="s">
        <v>26</v>
      </c>
      <c r="G12" s="29" t="s">
        <v>26</v>
      </c>
      <c r="H12" s="23"/>
      <c r="I12" s="23"/>
      <c r="J12" s="23"/>
      <c r="L12" s="9" t="s">
        <v>0</v>
      </c>
      <c r="M12" s="9" t="s">
        <v>27</v>
      </c>
      <c r="N12" s="9" t="s">
        <v>28</v>
      </c>
      <c r="O12" s="9" t="s">
        <v>29</v>
      </c>
      <c r="P12" s="9" t="s">
        <v>29</v>
      </c>
      <c r="Q12" s="10"/>
      <c r="R12" s="10"/>
      <c r="S12" s="10"/>
      <c r="T12" s="10"/>
      <c r="U12" s="10"/>
    </row>
    <row r="13" spans="2:22" x14ac:dyDescent="0.45">
      <c r="B13">
        <v>1</v>
      </c>
      <c r="C13" s="23"/>
      <c r="D13" s="23"/>
      <c r="E13" s="23"/>
      <c r="F13" s="23"/>
      <c r="G13" s="29"/>
      <c r="H13" s="23"/>
      <c r="I13" s="23"/>
      <c r="J13" s="23"/>
      <c r="L13" s="11" t="s">
        <v>5</v>
      </c>
      <c r="M13" s="11" t="s">
        <v>26</v>
      </c>
      <c r="N13" s="11" t="s">
        <v>26</v>
      </c>
      <c r="O13" s="11" t="s">
        <v>26</v>
      </c>
      <c r="P13" s="11">
        <v>0</v>
      </c>
      <c r="Q13" s="11" t="s">
        <v>26</v>
      </c>
      <c r="R13" s="11" t="s">
        <v>26</v>
      </c>
      <c r="S13" s="11" t="s">
        <v>26</v>
      </c>
      <c r="T13" s="11" t="s">
        <v>26</v>
      </c>
      <c r="U13" s="11" t="s">
        <v>26</v>
      </c>
      <c r="V13" s="11" t="s">
        <v>26</v>
      </c>
    </row>
    <row r="14" spans="2:22" x14ac:dyDescent="0.45">
      <c r="C14" s="23"/>
      <c r="D14" s="23"/>
      <c r="E14" s="23"/>
      <c r="F14" s="23"/>
      <c r="G14" s="29"/>
      <c r="H14" s="23"/>
      <c r="I14" s="23"/>
      <c r="J14" s="23"/>
      <c r="L14" s="12" t="s">
        <v>15</v>
      </c>
      <c r="M14" s="13" t="s">
        <v>32</v>
      </c>
      <c r="N14" s="10"/>
      <c r="O14" s="10"/>
      <c r="P14" s="10"/>
      <c r="Q14" s="10"/>
      <c r="R14" s="10"/>
      <c r="S14" s="10"/>
      <c r="T14" s="10"/>
      <c r="U14" s="10"/>
    </row>
    <row r="15" spans="2:22" x14ac:dyDescent="0.45">
      <c r="C15" s="23"/>
      <c r="D15" s="23"/>
      <c r="E15" s="23"/>
      <c r="F15" s="23"/>
      <c r="G15" s="29"/>
      <c r="H15" s="23"/>
      <c r="I15" s="23"/>
      <c r="J15" s="23"/>
      <c r="L15" s="14" t="s">
        <v>17</v>
      </c>
      <c r="M15" s="14"/>
      <c r="N15" s="14" t="s">
        <v>26</v>
      </c>
      <c r="O15" s="14" t="s">
        <v>26</v>
      </c>
      <c r="P15" s="14"/>
      <c r="Q15" s="21">
        <f>16*(48/4)*B13</f>
        <v>192</v>
      </c>
      <c r="R15" s="14" t="s">
        <v>26</v>
      </c>
      <c r="S15" s="10"/>
      <c r="T15" s="10"/>
      <c r="U15" s="10"/>
    </row>
    <row r="16" spans="2:22" x14ac:dyDescent="0.45">
      <c r="C16" s="23"/>
      <c r="D16" s="23"/>
      <c r="E16" s="23"/>
      <c r="F16" s="23"/>
      <c r="G16" s="29"/>
      <c r="H16" s="23"/>
      <c r="I16" s="23"/>
      <c r="J16" s="23"/>
      <c r="L16" s="15" t="s">
        <v>23</v>
      </c>
      <c r="M16" s="16" t="s">
        <v>26</v>
      </c>
      <c r="N16" s="10"/>
      <c r="O16" s="10"/>
      <c r="P16" s="10"/>
      <c r="Q16" s="10" t="s">
        <v>72</v>
      </c>
      <c r="R16" s="10"/>
      <c r="S16" s="10"/>
      <c r="T16" s="10"/>
      <c r="U16" s="10"/>
    </row>
    <row r="17" spans="1:22" x14ac:dyDescent="0.45">
      <c r="C17" s="23" t="s">
        <v>33</v>
      </c>
      <c r="D17" s="23"/>
      <c r="E17" s="23"/>
      <c r="F17" s="27" t="s">
        <v>34</v>
      </c>
      <c r="G17" s="27" t="s">
        <v>34</v>
      </c>
      <c r="H17" s="23"/>
      <c r="I17" s="28" t="s">
        <v>26</v>
      </c>
      <c r="J17" s="23"/>
      <c r="L17" s="9" t="s">
        <v>0</v>
      </c>
      <c r="M17" s="9" t="s">
        <v>35</v>
      </c>
      <c r="N17" s="9" t="s">
        <v>36</v>
      </c>
      <c r="O17" s="9" t="s">
        <v>29</v>
      </c>
      <c r="P17" s="9" t="s">
        <v>29</v>
      </c>
      <c r="Q17" s="10"/>
      <c r="R17" s="10"/>
      <c r="S17" s="10"/>
      <c r="T17" s="10"/>
      <c r="U17" s="10"/>
    </row>
    <row r="18" spans="1:22" x14ac:dyDescent="0.45">
      <c r="B18" s="22" t="s">
        <v>87</v>
      </c>
      <c r="C18" s="23"/>
      <c r="D18" s="23"/>
      <c r="E18" s="23"/>
      <c r="F18" s="27"/>
      <c r="G18" s="27"/>
      <c r="H18" s="23"/>
      <c r="I18" s="28"/>
      <c r="J18" s="23"/>
      <c r="L18" s="11" t="s">
        <v>5</v>
      </c>
      <c r="M18" s="11" t="s">
        <v>37</v>
      </c>
      <c r="N18" s="11" t="s">
        <v>37</v>
      </c>
      <c r="O18" s="11" t="s">
        <v>29</v>
      </c>
      <c r="P18" s="11">
        <v>1</v>
      </c>
      <c r="Q18" s="11" t="s">
        <v>29</v>
      </c>
      <c r="R18" s="11" t="s">
        <v>29</v>
      </c>
      <c r="S18" s="11" t="s">
        <v>38</v>
      </c>
      <c r="T18" s="11" t="s">
        <v>65</v>
      </c>
      <c r="U18" s="11" t="s">
        <v>31</v>
      </c>
      <c r="V18" s="11" t="s">
        <v>31</v>
      </c>
    </row>
    <row r="19" spans="1:22" x14ac:dyDescent="0.45">
      <c r="C19" s="23"/>
      <c r="D19" s="23"/>
      <c r="E19" s="23"/>
      <c r="F19" s="27"/>
      <c r="G19" s="27"/>
      <c r="H19" s="23"/>
      <c r="I19" s="28"/>
      <c r="J19" s="23"/>
      <c r="L19" s="12" t="s">
        <v>15</v>
      </c>
      <c r="M19" s="13" t="s">
        <v>39</v>
      </c>
      <c r="N19" s="10"/>
      <c r="O19" s="10"/>
      <c r="P19" s="10"/>
      <c r="Q19" s="10"/>
      <c r="R19" s="10"/>
      <c r="S19" s="10" t="s">
        <v>47</v>
      </c>
      <c r="T19" s="10" t="s">
        <v>64</v>
      </c>
      <c r="U19" s="10" t="s">
        <v>89</v>
      </c>
      <c r="V19" s="10" t="s">
        <v>89</v>
      </c>
    </row>
    <row r="20" spans="1:22" x14ac:dyDescent="0.45">
      <c r="C20" s="23"/>
      <c r="D20" s="23"/>
      <c r="E20" s="23"/>
      <c r="F20" s="27"/>
      <c r="G20" s="27"/>
      <c r="H20" s="23"/>
      <c r="I20" s="28"/>
      <c r="J20" s="23"/>
      <c r="L20" s="14" t="s">
        <v>17</v>
      </c>
      <c r="M20" s="14"/>
      <c r="N20" s="14" t="s">
        <v>26</v>
      </c>
      <c r="O20" s="14" t="s">
        <v>26</v>
      </c>
      <c r="P20" s="14"/>
      <c r="Q20" s="14" t="s">
        <v>26</v>
      </c>
      <c r="R20" s="14" t="s">
        <v>26</v>
      </c>
      <c r="S20" s="10"/>
      <c r="T20" s="10"/>
      <c r="U20" s="10"/>
    </row>
    <row r="21" spans="1:22" x14ac:dyDescent="0.45">
      <c r="C21" s="23"/>
      <c r="D21" s="23"/>
      <c r="E21" s="23"/>
      <c r="F21" s="27"/>
      <c r="G21" s="27"/>
      <c r="H21" s="23"/>
      <c r="I21" s="28"/>
      <c r="J21" s="23"/>
      <c r="L21" s="15" t="s">
        <v>23</v>
      </c>
      <c r="M21" s="16" t="s">
        <v>26</v>
      </c>
      <c r="N21" s="10"/>
      <c r="O21" s="10"/>
      <c r="P21" s="10"/>
      <c r="Q21" s="10"/>
      <c r="R21" s="10"/>
      <c r="S21" s="10"/>
      <c r="T21" s="10"/>
      <c r="U21" s="10"/>
    </row>
    <row r="22" spans="1:22" x14ac:dyDescent="0.45">
      <c r="C22" s="17"/>
      <c r="D22" s="17"/>
      <c r="E22" s="17"/>
      <c r="F22" s="17"/>
      <c r="G22" s="17"/>
      <c r="H22" s="17"/>
      <c r="I22" s="17"/>
      <c r="J22" s="17"/>
      <c r="P22" s="10"/>
    </row>
    <row r="23" spans="1:22" x14ac:dyDescent="0.45">
      <c r="P23" s="10"/>
    </row>
    <row r="24" spans="1:22" x14ac:dyDescent="0.45">
      <c r="A24" t="s">
        <v>40</v>
      </c>
      <c r="B24" s="6" t="s">
        <v>24</v>
      </c>
      <c r="C24" s="23" t="s">
        <v>25</v>
      </c>
      <c r="D24" s="23"/>
      <c r="E24" s="23"/>
      <c r="F24" s="23"/>
      <c r="G24" s="23" t="s">
        <v>26</v>
      </c>
      <c r="H24" s="29" t="s">
        <v>26</v>
      </c>
      <c r="I24" s="25" t="s">
        <v>41</v>
      </c>
      <c r="J24" s="23"/>
      <c r="L24" s="9" t="s">
        <v>0</v>
      </c>
      <c r="M24" s="9" t="s">
        <v>27</v>
      </c>
      <c r="N24" s="9" t="s">
        <v>42</v>
      </c>
      <c r="O24" s="9" t="s">
        <v>29</v>
      </c>
      <c r="P24" s="9" t="s">
        <v>29</v>
      </c>
      <c r="Q24" s="10"/>
      <c r="R24" s="10"/>
      <c r="S24" s="10"/>
      <c r="T24" s="10"/>
      <c r="U24" s="10"/>
    </row>
    <row r="25" spans="1:22" x14ac:dyDescent="0.45">
      <c r="B25">
        <v>2</v>
      </c>
      <c r="C25" s="23"/>
      <c r="D25" s="23"/>
      <c r="E25" s="23"/>
      <c r="F25" s="23"/>
      <c r="G25" s="23"/>
      <c r="H25" s="29"/>
      <c r="I25" s="26"/>
      <c r="J25" s="23"/>
      <c r="L25" s="11" t="s">
        <v>5</v>
      </c>
      <c r="M25" s="11" t="s">
        <v>26</v>
      </c>
      <c r="N25" s="11" t="s">
        <v>26</v>
      </c>
      <c r="O25" s="11" t="s">
        <v>26</v>
      </c>
      <c r="P25" s="11">
        <v>0</v>
      </c>
      <c r="Q25" s="11" t="s">
        <v>26</v>
      </c>
      <c r="R25" s="11" t="s">
        <v>26</v>
      </c>
      <c r="S25" s="11" t="s">
        <v>26</v>
      </c>
      <c r="T25" s="11" t="s">
        <v>26</v>
      </c>
      <c r="U25" s="11" t="s">
        <v>26</v>
      </c>
      <c r="V25" s="11" t="s">
        <v>26</v>
      </c>
    </row>
    <row r="26" spans="1:22" x14ac:dyDescent="0.45">
      <c r="C26" s="23"/>
      <c r="D26" s="23"/>
      <c r="E26" s="23"/>
      <c r="F26" s="23"/>
      <c r="G26" s="23"/>
      <c r="H26" s="29"/>
      <c r="I26" s="26"/>
      <c r="J26" s="23"/>
      <c r="L26" s="12" t="s">
        <v>15</v>
      </c>
      <c r="M26" s="13" t="s">
        <v>43</v>
      </c>
      <c r="N26" s="10"/>
      <c r="O26" s="10"/>
      <c r="P26" s="10"/>
      <c r="Q26" s="10"/>
      <c r="R26" s="10"/>
      <c r="S26" s="10"/>
      <c r="T26" s="10"/>
      <c r="U26" s="10"/>
      <c r="V26" s="10"/>
    </row>
    <row r="27" spans="1:22" x14ac:dyDescent="0.45">
      <c r="C27" s="23"/>
      <c r="D27" s="23"/>
      <c r="E27" s="23"/>
      <c r="F27" s="23"/>
      <c r="G27" s="23"/>
      <c r="H27" s="29"/>
      <c r="I27" s="26"/>
      <c r="J27" s="23"/>
      <c r="L27" s="14" t="s">
        <v>17</v>
      </c>
      <c r="M27" s="14"/>
      <c r="N27" s="14" t="s">
        <v>26</v>
      </c>
      <c r="O27" s="14" t="s">
        <v>26</v>
      </c>
      <c r="P27" s="14"/>
      <c r="Q27" s="21">
        <f>16*(48/4)*B25</f>
        <v>384</v>
      </c>
      <c r="R27" s="14" t="s">
        <v>26</v>
      </c>
      <c r="S27" s="10"/>
      <c r="T27" s="10"/>
      <c r="U27" s="10"/>
    </row>
    <row r="28" spans="1:22" x14ac:dyDescent="0.45">
      <c r="C28" s="23"/>
      <c r="D28" s="23"/>
      <c r="E28" s="23"/>
      <c r="F28" s="23"/>
      <c r="G28" s="23"/>
      <c r="H28" s="29"/>
      <c r="I28" s="26"/>
      <c r="J28" s="23"/>
      <c r="L28" s="15" t="s">
        <v>23</v>
      </c>
      <c r="M28" s="16" t="s">
        <v>26</v>
      </c>
      <c r="N28" s="10"/>
      <c r="O28" s="10"/>
      <c r="P28" s="10"/>
      <c r="Q28" s="10" t="s">
        <v>73</v>
      </c>
      <c r="R28" s="10"/>
      <c r="S28" s="10"/>
      <c r="T28" s="10"/>
      <c r="U28" s="10"/>
    </row>
    <row r="29" spans="1:22" x14ac:dyDescent="0.45">
      <c r="B29" s="6" t="s">
        <v>24</v>
      </c>
      <c r="C29" s="23" t="s">
        <v>44</v>
      </c>
      <c r="D29" s="23"/>
      <c r="E29" s="23"/>
      <c r="F29" s="29" t="s">
        <v>26</v>
      </c>
      <c r="G29" s="23" t="s">
        <v>26</v>
      </c>
      <c r="H29" s="23" t="s">
        <v>26</v>
      </c>
      <c r="I29" s="27" t="s">
        <v>34</v>
      </c>
      <c r="J29" s="28" t="s">
        <v>26</v>
      </c>
      <c r="L29" s="9" t="s">
        <v>0</v>
      </c>
      <c r="M29" s="9" t="s">
        <v>35</v>
      </c>
      <c r="N29" s="9" t="s">
        <v>28</v>
      </c>
      <c r="O29" s="9" t="s">
        <v>29</v>
      </c>
      <c r="P29" s="9" t="s">
        <v>29</v>
      </c>
      <c r="Q29" s="10"/>
      <c r="R29" s="10"/>
      <c r="S29" s="10"/>
      <c r="T29" s="10"/>
      <c r="U29" s="10"/>
    </row>
    <row r="30" spans="1:22" x14ac:dyDescent="0.45">
      <c r="B30">
        <v>3</v>
      </c>
      <c r="C30" s="23"/>
      <c r="D30" s="23"/>
      <c r="E30" s="23"/>
      <c r="F30" s="29"/>
      <c r="G30" s="23"/>
      <c r="H30" s="23"/>
      <c r="I30" s="27"/>
      <c r="J30" s="28"/>
      <c r="L30" s="11" t="s">
        <v>5</v>
      </c>
      <c r="M30" s="11" t="s">
        <v>45</v>
      </c>
      <c r="N30" s="11" t="s">
        <v>31</v>
      </c>
      <c r="O30" s="11" t="s">
        <v>31</v>
      </c>
      <c r="P30" s="11">
        <v>0</v>
      </c>
      <c r="Q30" s="11" t="s">
        <v>88</v>
      </c>
      <c r="R30" s="11" t="s">
        <v>37</v>
      </c>
      <c r="S30" s="11" t="s">
        <v>65</v>
      </c>
      <c r="T30" s="11" t="s">
        <v>65</v>
      </c>
      <c r="U30" s="11" t="s">
        <v>67</v>
      </c>
      <c r="V30" s="11" t="s">
        <v>31</v>
      </c>
    </row>
    <row r="31" spans="1:22" x14ac:dyDescent="0.45">
      <c r="B31" s="22" t="s">
        <v>87</v>
      </c>
      <c r="C31" s="23"/>
      <c r="D31" s="23"/>
      <c r="E31" s="23"/>
      <c r="F31" s="29"/>
      <c r="G31" s="23"/>
      <c r="H31" s="23"/>
      <c r="I31" s="27"/>
      <c r="J31" s="28"/>
      <c r="L31" s="12" t="s">
        <v>15</v>
      </c>
      <c r="M31" s="13" t="s">
        <v>46</v>
      </c>
      <c r="N31" s="10"/>
      <c r="O31" s="10"/>
      <c r="P31" s="10"/>
      <c r="Q31" s="10"/>
      <c r="R31" s="10"/>
      <c r="S31" s="10" t="s">
        <v>68</v>
      </c>
      <c r="T31" s="10" t="s">
        <v>68</v>
      </c>
      <c r="U31" s="10" t="s">
        <v>66</v>
      </c>
      <c r="V31" s="10" t="s">
        <v>89</v>
      </c>
    </row>
    <row r="32" spans="1:22" x14ac:dyDescent="0.45">
      <c r="C32" s="23"/>
      <c r="D32" s="23"/>
      <c r="E32" s="23"/>
      <c r="F32" s="29"/>
      <c r="G32" s="23"/>
      <c r="H32" s="23"/>
      <c r="I32" s="27"/>
      <c r="J32" s="28"/>
      <c r="L32" s="14" t="s">
        <v>17</v>
      </c>
      <c r="M32" s="14"/>
      <c r="N32" s="14" t="s">
        <v>26</v>
      </c>
      <c r="O32" s="14" t="s">
        <v>26</v>
      </c>
      <c r="P32" s="14"/>
      <c r="Q32" s="21">
        <f>16*(48/4)*B30</f>
        <v>576</v>
      </c>
      <c r="R32" s="14" t="s">
        <v>26</v>
      </c>
      <c r="S32" s="10"/>
      <c r="T32" s="10"/>
      <c r="U32" s="10"/>
    </row>
    <row r="33" spans="2:22" x14ac:dyDescent="0.45">
      <c r="C33" s="23"/>
      <c r="D33" s="23"/>
      <c r="E33" s="23"/>
      <c r="F33" s="29"/>
      <c r="G33" s="23"/>
      <c r="H33" s="23"/>
      <c r="I33" s="27"/>
      <c r="J33" s="28"/>
      <c r="L33" s="15" t="s">
        <v>23</v>
      </c>
      <c r="M33" s="16" t="s">
        <v>26</v>
      </c>
      <c r="N33" s="10"/>
      <c r="O33" s="10"/>
      <c r="P33" s="10"/>
      <c r="Q33" s="10" t="s">
        <v>74</v>
      </c>
      <c r="R33" s="10"/>
      <c r="S33" s="10"/>
      <c r="T33" s="10"/>
      <c r="U33" s="10"/>
    </row>
    <row r="34" spans="2:22" x14ac:dyDescent="0.45">
      <c r="B34" s="6" t="s">
        <v>70</v>
      </c>
      <c r="C34" s="23" t="s">
        <v>33</v>
      </c>
      <c r="D34" s="23"/>
      <c r="E34" s="23"/>
      <c r="F34" s="27" t="s">
        <v>34</v>
      </c>
      <c r="G34" s="27" t="s">
        <v>34</v>
      </c>
      <c r="H34" s="27" t="s">
        <v>34</v>
      </c>
      <c r="I34" s="28" t="s">
        <v>26</v>
      </c>
      <c r="J34" s="24" t="s">
        <v>34</v>
      </c>
      <c r="L34" s="9" t="s">
        <v>0</v>
      </c>
      <c r="M34" s="9" t="s">
        <v>35</v>
      </c>
      <c r="N34" s="9" t="s">
        <v>48</v>
      </c>
      <c r="O34" s="9" t="s">
        <v>29</v>
      </c>
      <c r="P34" s="9" t="s">
        <v>29</v>
      </c>
      <c r="Q34" s="10"/>
      <c r="R34" s="10"/>
      <c r="S34" s="10"/>
      <c r="T34" s="10"/>
      <c r="U34" s="10"/>
    </row>
    <row r="35" spans="2:22" x14ac:dyDescent="0.45">
      <c r="B35">
        <v>0</v>
      </c>
      <c r="C35" s="23"/>
      <c r="D35" s="23"/>
      <c r="E35" s="23"/>
      <c r="F35" s="27"/>
      <c r="G35" s="27"/>
      <c r="H35" s="27"/>
      <c r="I35" s="28"/>
      <c r="J35" s="24"/>
      <c r="L35" s="11" t="s">
        <v>5</v>
      </c>
      <c r="M35" s="11" t="s">
        <v>37</v>
      </c>
      <c r="N35" s="11" t="s">
        <v>37</v>
      </c>
      <c r="O35" s="11" t="s">
        <v>29</v>
      </c>
      <c r="P35" s="11">
        <v>1</v>
      </c>
      <c r="Q35" s="11" t="s">
        <v>29</v>
      </c>
      <c r="R35" s="11" t="s">
        <v>29</v>
      </c>
      <c r="S35" s="11" t="s">
        <v>38</v>
      </c>
      <c r="T35" s="11" t="s">
        <v>65</v>
      </c>
      <c r="U35" s="11" t="s">
        <v>31</v>
      </c>
      <c r="V35" s="11" t="s">
        <v>31</v>
      </c>
    </row>
    <row r="36" spans="2:22" x14ac:dyDescent="0.45">
      <c r="C36" s="23"/>
      <c r="D36" s="23"/>
      <c r="E36" s="23"/>
      <c r="F36" s="27"/>
      <c r="G36" s="27"/>
      <c r="H36" s="27"/>
      <c r="I36" s="28"/>
      <c r="J36" s="24"/>
      <c r="L36" s="12" t="s">
        <v>15</v>
      </c>
      <c r="M36" s="13" t="s">
        <v>49</v>
      </c>
      <c r="N36" s="10"/>
      <c r="O36" s="10"/>
      <c r="P36" s="10"/>
      <c r="Q36" s="10"/>
      <c r="R36" s="10"/>
      <c r="S36" s="10" t="s">
        <v>47</v>
      </c>
      <c r="T36" s="10" t="s">
        <v>64</v>
      </c>
      <c r="U36" s="10" t="s">
        <v>89</v>
      </c>
      <c r="V36" s="10" t="s">
        <v>89</v>
      </c>
    </row>
    <row r="37" spans="2:22" x14ac:dyDescent="0.45">
      <c r="C37" s="23"/>
      <c r="D37" s="23"/>
      <c r="E37" s="23"/>
      <c r="F37" s="27"/>
      <c r="G37" s="27"/>
      <c r="H37" s="27"/>
      <c r="I37" s="28"/>
      <c r="J37" s="24"/>
      <c r="L37" s="14" t="s">
        <v>17</v>
      </c>
      <c r="M37" s="14"/>
      <c r="N37" s="21">
        <f>8*(96/4)*B35</f>
        <v>0</v>
      </c>
      <c r="O37" s="14" t="s">
        <v>26</v>
      </c>
      <c r="P37" s="14"/>
      <c r="Q37" s="14" t="s">
        <v>26</v>
      </c>
      <c r="R37" s="14" t="s">
        <v>26</v>
      </c>
      <c r="S37" s="10"/>
      <c r="T37" s="10"/>
      <c r="U37" s="10"/>
    </row>
    <row r="38" spans="2:22" x14ac:dyDescent="0.45">
      <c r="C38" s="23"/>
      <c r="D38" s="23"/>
      <c r="E38" s="23"/>
      <c r="F38" s="27"/>
      <c r="G38" s="27"/>
      <c r="H38" s="27"/>
      <c r="I38" s="28"/>
      <c r="J38" s="24"/>
      <c r="L38" s="15" t="s">
        <v>23</v>
      </c>
      <c r="M38" s="16" t="s">
        <v>26</v>
      </c>
      <c r="N38" s="10" t="s">
        <v>93</v>
      </c>
      <c r="O38" s="10"/>
      <c r="P38" s="10"/>
      <c r="Q38" s="10"/>
      <c r="R38" s="10"/>
      <c r="S38" s="10"/>
      <c r="T38" s="10"/>
      <c r="U38" s="10"/>
    </row>
    <row r="39" spans="2:22" x14ac:dyDescent="0.45">
      <c r="P39" s="10"/>
    </row>
    <row r="40" spans="2:22" x14ac:dyDescent="0.45">
      <c r="B40" s="6" t="s">
        <v>24</v>
      </c>
      <c r="C40" s="23" t="s">
        <v>25</v>
      </c>
      <c r="D40" s="23"/>
      <c r="E40" s="23"/>
      <c r="F40" s="23" t="s">
        <v>26</v>
      </c>
      <c r="G40" s="29" t="s">
        <v>26</v>
      </c>
      <c r="H40" s="23"/>
      <c r="I40" s="25" t="s">
        <v>41</v>
      </c>
      <c r="J40" s="23"/>
      <c r="L40" s="9" t="s">
        <v>0</v>
      </c>
      <c r="M40" s="9" t="s">
        <v>27</v>
      </c>
      <c r="N40" s="9" t="s">
        <v>42</v>
      </c>
      <c r="O40" s="9" t="s">
        <v>29</v>
      </c>
      <c r="P40" s="9" t="s">
        <v>29</v>
      </c>
      <c r="Q40" s="10"/>
      <c r="R40" s="10"/>
      <c r="S40" s="10"/>
      <c r="T40" s="10"/>
      <c r="U40" s="10"/>
    </row>
    <row r="41" spans="2:22" x14ac:dyDescent="0.45">
      <c r="B41">
        <v>4</v>
      </c>
      <c r="C41" s="23"/>
      <c r="D41" s="23"/>
      <c r="E41" s="23"/>
      <c r="F41" s="23"/>
      <c r="G41" s="29"/>
      <c r="H41" s="23"/>
      <c r="I41" s="26"/>
      <c r="J41" s="23"/>
      <c r="L41" s="11" t="s">
        <v>5</v>
      </c>
      <c r="M41" s="11" t="s">
        <v>26</v>
      </c>
      <c r="N41" s="11" t="s">
        <v>26</v>
      </c>
      <c r="O41" s="11" t="s">
        <v>26</v>
      </c>
      <c r="P41" s="11">
        <v>0</v>
      </c>
      <c r="Q41" s="11" t="s">
        <v>26</v>
      </c>
      <c r="R41" s="11" t="s">
        <v>26</v>
      </c>
      <c r="S41" s="11" t="s">
        <v>26</v>
      </c>
      <c r="T41" s="11" t="s">
        <v>26</v>
      </c>
      <c r="U41" s="11" t="s">
        <v>26</v>
      </c>
      <c r="V41" s="11" t="s">
        <v>26</v>
      </c>
    </row>
    <row r="42" spans="2:22" x14ac:dyDescent="0.45">
      <c r="C42" s="23"/>
      <c r="D42" s="23"/>
      <c r="E42" s="23"/>
      <c r="F42" s="23"/>
      <c r="G42" s="29"/>
      <c r="H42" s="23"/>
      <c r="I42" s="26"/>
      <c r="J42" s="23"/>
      <c r="L42" s="12" t="s">
        <v>15</v>
      </c>
      <c r="M42" s="13" t="s">
        <v>50</v>
      </c>
      <c r="N42" s="10"/>
      <c r="O42" s="10"/>
      <c r="P42" s="10"/>
      <c r="Q42" s="10"/>
      <c r="R42" s="10"/>
      <c r="S42" s="10"/>
      <c r="T42" s="10"/>
      <c r="U42" s="10"/>
      <c r="V42" s="10"/>
    </row>
    <row r="43" spans="2:22" x14ac:dyDescent="0.45">
      <c r="C43" s="23"/>
      <c r="D43" s="23"/>
      <c r="E43" s="23"/>
      <c r="F43" s="23"/>
      <c r="G43" s="29"/>
      <c r="H43" s="23"/>
      <c r="I43" s="26"/>
      <c r="J43" s="23"/>
      <c r="L43" s="14" t="s">
        <v>17</v>
      </c>
      <c r="M43" s="14"/>
      <c r="N43" s="14" t="s">
        <v>26</v>
      </c>
      <c r="O43" s="14" t="s">
        <v>26</v>
      </c>
      <c r="P43" s="14"/>
      <c r="Q43" s="21">
        <f>16*(48/4)*B41</f>
        <v>768</v>
      </c>
      <c r="R43" s="14" t="s">
        <v>26</v>
      </c>
      <c r="S43" s="10"/>
      <c r="T43" s="10"/>
      <c r="U43" s="10"/>
    </row>
    <row r="44" spans="2:22" x14ac:dyDescent="0.45">
      <c r="C44" s="23"/>
      <c r="D44" s="23"/>
      <c r="E44" s="23"/>
      <c r="F44" s="23"/>
      <c r="G44" s="29"/>
      <c r="H44" s="23"/>
      <c r="I44" s="26"/>
      <c r="J44" s="23"/>
      <c r="L44" s="15" t="s">
        <v>23</v>
      </c>
      <c r="M44" s="16" t="s">
        <v>26</v>
      </c>
      <c r="N44" s="10"/>
      <c r="O44" s="10"/>
      <c r="P44" s="10"/>
      <c r="Q44" s="10" t="s">
        <v>75</v>
      </c>
      <c r="R44" s="10"/>
      <c r="S44" s="10"/>
      <c r="T44" s="10"/>
      <c r="U44" s="10"/>
    </row>
    <row r="45" spans="2:22" x14ac:dyDescent="0.45">
      <c r="B45" s="6" t="s">
        <v>24</v>
      </c>
      <c r="C45" s="23" t="s">
        <v>44</v>
      </c>
      <c r="D45" s="23"/>
      <c r="E45" s="23"/>
      <c r="F45" s="23" t="s">
        <v>26</v>
      </c>
      <c r="G45" s="23" t="s">
        <v>26</v>
      </c>
      <c r="H45" s="29" t="s">
        <v>26</v>
      </c>
      <c r="I45" s="27" t="s">
        <v>34</v>
      </c>
      <c r="J45" s="28" t="s">
        <v>26</v>
      </c>
      <c r="L45" s="9" t="s">
        <v>0</v>
      </c>
      <c r="M45" s="9" t="s">
        <v>35</v>
      </c>
      <c r="N45" s="9" t="s">
        <v>28</v>
      </c>
      <c r="O45" s="9" t="s">
        <v>29</v>
      </c>
      <c r="P45" s="9" t="s">
        <v>29</v>
      </c>
      <c r="Q45" s="10"/>
      <c r="R45" s="10"/>
      <c r="S45" s="10"/>
      <c r="T45" s="10"/>
      <c r="U45" s="10"/>
    </row>
    <row r="46" spans="2:22" x14ac:dyDescent="0.45">
      <c r="B46">
        <v>5</v>
      </c>
      <c r="C46" s="23"/>
      <c r="D46" s="23"/>
      <c r="E46" s="23"/>
      <c r="F46" s="23"/>
      <c r="G46" s="23"/>
      <c r="H46" s="29"/>
      <c r="I46" s="27"/>
      <c r="J46" s="28"/>
      <c r="L46" s="11" t="s">
        <v>5</v>
      </c>
      <c r="M46" s="11" t="s">
        <v>45</v>
      </c>
      <c r="N46" s="11" t="s">
        <v>31</v>
      </c>
      <c r="O46" s="11" t="s">
        <v>31</v>
      </c>
      <c r="P46" s="11">
        <v>0</v>
      </c>
      <c r="Q46" s="11" t="s">
        <v>88</v>
      </c>
      <c r="R46" s="11" t="s">
        <v>37</v>
      </c>
      <c r="S46" s="11" t="s">
        <v>65</v>
      </c>
      <c r="T46" s="11" t="s">
        <v>65</v>
      </c>
      <c r="U46" s="11" t="s">
        <v>67</v>
      </c>
      <c r="V46" s="11" t="s">
        <v>31</v>
      </c>
    </row>
    <row r="47" spans="2:22" x14ac:dyDescent="0.45">
      <c r="C47" s="23"/>
      <c r="D47" s="23"/>
      <c r="E47" s="23"/>
      <c r="F47" s="23"/>
      <c r="G47" s="23"/>
      <c r="H47" s="29"/>
      <c r="I47" s="27"/>
      <c r="J47" s="28"/>
      <c r="L47" s="12" t="s">
        <v>15</v>
      </c>
      <c r="M47" s="13" t="s">
        <v>51</v>
      </c>
      <c r="N47" s="10"/>
      <c r="O47" s="10"/>
      <c r="P47" s="10"/>
      <c r="Q47" s="10"/>
      <c r="R47" s="10"/>
      <c r="S47" s="10" t="s">
        <v>68</v>
      </c>
      <c r="T47" s="10" t="s">
        <v>68</v>
      </c>
      <c r="U47" s="10" t="s">
        <v>66</v>
      </c>
      <c r="V47" s="10" t="s">
        <v>89</v>
      </c>
    </row>
    <row r="48" spans="2:22" x14ac:dyDescent="0.45">
      <c r="C48" s="23"/>
      <c r="D48" s="23"/>
      <c r="E48" s="23"/>
      <c r="F48" s="23"/>
      <c r="G48" s="23"/>
      <c r="H48" s="29"/>
      <c r="I48" s="27"/>
      <c r="J48" s="28"/>
      <c r="L48" s="14" t="s">
        <v>17</v>
      </c>
      <c r="M48" s="14"/>
      <c r="N48" s="14" t="s">
        <v>26</v>
      </c>
      <c r="O48" s="14" t="s">
        <v>26</v>
      </c>
      <c r="P48" s="14"/>
      <c r="Q48" s="21">
        <f>16*(48/4)*B46</f>
        <v>960</v>
      </c>
      <c r="R48" s="14" t="s">
        <v>26</v>
      </c>
      <c r="S48" s="10"/>
      <c r="T48" s="10"/>
      <c r="U48" s="10"/>
    </row>
    <row r="49" spans="2:22" x14ac:dyDescent="0.45">
      <c r="C49" s="23"/>
      <c r="D49" s="23"/>
      <c r="E49" s="23"/>
      <c r="F49" s="23"/>
      <c r="G49" s="23"/>
      <c r="H49" s="29"/>
      <c r="I49" s="27"/>
      <c r="J49" s="28"/>
      <c r="L49" s="15" t="s">
        <v>23</v>
      </c>
      <c r="M49" s="16" t="s">
        <v>26</v>
      </c>
      <c r="N49" s="10"/>
      <c r="O49" s="10"/>
      <c r="P49" s="10"/>
      <c r="Q49" s="10" t="s">
        <v>76</v>
      </c>
      <c r="R49" s="10"/>
      <c r="S49" s="10"/>
      <c r="T49" s="10"/>
      <c r="U49" s="10"/>
    </row>
    <row r="50" spans="2:22" x14ac:dyDescent="0.45">
      <c r="B50" s="6" t="s">
        <v>70</v>
      </c>
      <c r="C50" s="23" t="s">
        <v>33</v>
      </c>
      <c r="D50" s="23"/>
      <c r="E50" s="23"/>
      <c r="F50" s="27" t="s">
        <v>34</v>
      </c>
      <c r="G50" s="27" t="s">
        <v>34</v>
      </c>
      <c r="H50" s="27" t="s">
        <v>34</v>
      </c>
      <c r="I50" s="28" t="s">
        <v>26</v>
      </c>
      <c r="J50" s="24" t="s">
        <v>34</v>
      </c>
      <c r="L50" s="9" t="s">
        <v>0</v>
      </c>
      <c r="M50" s="9" t="s">
        <v>35</v>
      </c>
      <c r="N50" s="9" t="s">
        <v>48</v>
      </c>
      <c r="O50" s="9" t="s">
        <v>29</v>
      </c>
      <c r="P50" s="9" t="s">
        <v>29</v>
      </c>
      <c r="Q50" s="10"/>
      <c r="R50" s="10"/>
      <c r="S50" s="10"/>
      <c r="T50" s="10"/>
      <c r="U50" s="10"/>
    </row>
    <row r="51" spans="2:22" x14ac:dyDescent="0.45">
      <c r="B51">
        <v>1</v>
      </c>
      <c r="C51" s="23"/>
      <c r="D51" s="23"/>
      <c r="E51" s="23"/>
      <c r="F51" s="27"/>
      <c r="G51" s="27"/>
      <c r="H51" s="27"/>
      <c r="I51" s="28"/>
      <c r="J51" s="24"/>
      <c r="L51" s="11" t="s">
        <v>5</v>
      </c>
      <c r="M51" s="11" t="s">
        <v>37</v>
      </c>
      <c r="N51" s="11" t="s">
        <v>37</v>
      </c>
      <c r="O51" s="11" t="s">
        <v>29</v>
      </c>
      <c r="P51" s="11">
        <v>1</v>
      </c>
      <c r="Q51" s="11" t="s">
        <v>29</v>
      </c>
      <c r="R51" s="11" t="s">
        <v>29</v>
      </c>
      <c r="S51" s="11" t="s">
        <v>38</v>
      </c>
      <c r="T51" s="11" t="s">
        <v>65</v>
      </c>
      <c r="U51" s="11" t="s">
        <v>31</v>
      </c>
      <c r="V51" s="11" t="s">
        <v>31</v>
      </c>
    </row>
    <row r="52" spans="2:22" x14ac:dyDescent="0.45">
      <c r="C52" s="23"/>
      <c r="D52" s="23"/>
      <c r="E52" s="23"/>
      <c r="F52" s="27"/>
      <c r="G52" s="27"/>
      <c r="H52" s="27"/>
      <c r="I52" s="28"/>
      <c r="J52" s="24"/>
      <c r="L52" s="12" t="s">
        <v>15</v>
      </c>
      <c r="M52" s="13" t="s">
        <v>52</v>
      </c>
      <c r="N52" s="10"/>
      <c r="O52" s="10"/>
      <c r="P52" s="10"/>
      <c r="Q52" s="10"/>
      <c r="R52" s="10"/>
      <c r="S52" s="10" t="s">
        <v>47</v>
      </c>
      <c r="T52" s="10" t="s">
        <v>64</v>
      </c>
      <c r="U52" s="10" t="s">
        <v>89</v>
      </c>
      <c r="V52" s="10" t="s">
        <v>89</v>
      </c>
    </row>
    <row r="53" spans="2:22" x14ac:dyDescent="0.45">
      <c r="C53" s="23"/>
      <c r="D53" s="23"/>
      <c r="E53" s="23"/>
      <c r="F53" s="27"/>
      <c r="G53" s="27"/>
      <c r="H53" s="27"/>
      <c r="I53" s="28"/>
      <c r="J53" s="24"/>
      <c r="L53" s="14" t="s">
        <v>17</v>
      </c>
      <c r="M53" s="14"/>
      <c r="N53" s="21">
        <f>8*(96/4)*B51</f>
        <v>192</v>
      </c>
      <c r="O53" s="14" t="s">
        <v>26</v>
      </c>
      <c r="P53" s="14"/>
      <c r="Q53" s="14" t="s">
        <v>26</v>
      </c>
      <c r="R53" s="14" t="s">
        <v>26</v>
      </c>
      <c r="S53" s="10"/>
      <c r="T53" s="10"/>
      <c r="U53" s="10"/>
    </row>
    <row r="54" spans="2:22" x14ac:dyDescent="0.45">
      <c r="C54" s="23"/>
      <c r="D54" s="23"/>
      <c r="E54" s="23"/>
      <c r="F54" s="27"/>
      <c r="G54" s="27"/>
      <c r="H54" s="27"/>
      <c r="I54" s="28"/>
      <c r="J54" s="24"/>
      <c r="L54" s="15" t="s">
        <v>23</v>
      </c>
      <c r="M54" s="16" t="s">
        <v>26</v>
      </c>
      <c r="N54" s="10" t="s">
        <v>94</v>
      </c>
      <c r="O54" s="10"/>
      <c r="P54" s="10"/>
      <c r="Q54" s="10"/>
      <c r="R54" s="10"/>
      <c r="S54" s="10"/>
      <c r="T54" s="10"/>
      <c r="U54" s="10"/>
    </row>
    <row r="55" spans="2:22" x14ac:dyDescent="0.45">
      <c r="P55" s="10"/>
    </row>
    <row r="56" spans="2:22" x14ac:dyDescent="0.45">
      <c r="B56" s="6" t="s">
        <v>24</v>
      </c>
      <c r="C56" s="23" t="s">
        <v>25</v>
      </c>
      <c r="D56" s="23"/>
      <c r="E56" s="23"/>
      <c r="F56" s="29" t="s">
        <v>26</v>
      </c>
      <c r="G56" s="23"/>
      <c r="H56" s="23" t="s">
        <v>26</v>
      </c>
      <c r="I56" s="25" t="s">
        <v>41</v>
      </c>
      <c r="J56" s="23"/>
      <c r="L56" s="9" t="s">
        <v>0</v>
      </c>
      <c r="M56" s="9" t="s">
        <v>27</v>
      </c>
      <c r="N56" s="9" t="s">
        <v>42</v>
      </c>
      <c r="O56" s="9" t="s">
        <v>29</v>
      </c>
      <c r="P56" s="9" t="s">
        <v>29</v>
      </c>
      <c r="Q56" s="10"/>
      <c r="R56" s="10"/>
      <c r="S56" s="10"/>
      <c r="T56" s="10"/>
      <c r="U56" s="10"/>
    </row>
    <row r="57" spans="2:22" x14ac:dyDescent="0.45">
      <c r="B57">
        <v>6</v>
      </c>
      <c r="C57" s="23"/>
      <c r="D57" s="23"/>
      <c r="E57" s="23"/>
      <c r="F57" s="29"/>
      <c r="G57" s="23"/>
      <c r="H57" s="23"/>
      <c r="I57" s="26"/>
      <c r="J57" s="23"/>
      <c r="L57" s="11" t="s">
        <v>5</v>
      </c>
      <c r="M57" s="11" t="s">
        <v>26</v>
      </c>
      <c r="N57" s="11" t="s">
        <v>26</v>
      </c>
      <c r="O57" s="11" t="s">
        <v>26</v>
      </c>
      <c r="P57" s="11">
        <v>0</v>
      </c>
      <c r="Q57" s="11" t="s">
        <v>26</v>
      </c>
      <c r="R57" s="11" t="s">
        <v>26</v>
      </c>
      <c r="S57" s="11" t="s">
        <v>26</v>
      </c>
      <c r="T57" s="11" t="s">
        <v>26</v>
      </c>
      <c r="U57" s="11" t="s">
        <v>26</v>
      </c>
      <c r="V57" s="11" t="s">
        <v>26</v>
      </c>
    </row>
    <row r="58" spans="2:22" x14ac:dyDescent="0.45">
      <c r="C58" s="23"/>
      <c r="D58" s="23"/>
      <c r="E58" s="23"/>
      <c r="F58" s="29"/>
      <c r="G58" s="23"/>
      <c r="H58" s="23"/>
      <c r="I58" s="26"/>
      <c r="J58" s="23"/>
      <c r="L58" s="12" t="s">
        <v>15</v>
      </c>
      <c r="M58" s="13" t="s">
        <v>53</v>
      </c>
      <c r="N58" s="10"/>
      <c r="O58" s="10"/>
      <c r="P58" s="10"/>
      <c r="Q58" s="10"/>
      <c r="R58" s="10"/>
      <c r="S58" s="10"/>
      <c r="T58" s="10"/>
      <c r="U58" s="10"/>
      <c r="V58" s="10"/>
    </row>
    <row r="59" spans="2:22" x14ac:dyDescent="0.45">
      <c r="C59" s="23"/>
      <c r="D59" s="23"/>
      <c r="E59" s="23"/>
      <c r="F59" s="29"/>
      <c r="G59" s="23"/>
      <c r="H59" s="23"/>
      <c r="I59" s="26"/>
      <c r="J59" s="23"/>
      <c r="L59" s="14" t="s">
        <v>17</v>
      </c>
      <c r="M59" s="14"/>
      <c r="N59" s="14" t="s">
        <v>26</v>
      </c>
      <c r="O59" s="14" t="s">
        <v>26</v>
      </c>
      <c r="P59" s="14"/>
      <c r="Q59" s="21">
        <f>16*(48/4)*B57</f>
        <v>1152</v>
      </c>
      <c r="R59" s="14" t="s">
        <v>26</v>
      </c>
      <c r="S59" s="10"/>
      <c r="T59" s="10"/>
      <c r="U59" s="10"/>
    </row>
    <row r="60" spans="2:22" x14ac:dyDescent="0.45">
      <c r="C60" s="23"/>
      <c r="D60" s="23"/>
      <c r="E60" s="23"/>
      <c r="F60" s="29"/>
      <c r="G60" s="23"/>
      <c r="H60" s="23"/>
      <c r="I60" s="26"/>
      <c r="J60" s="23"/>
      <c r="L60" s="15" t="s">
        <v>23</v>
      </c>
      <c r="M60" s="16" t="s">
        <v>26</v>
      </c>
      <c r="N60" s="10"/>
      <c r="O60" s="10"/>
      <c r="P60" s="10"/>
      <c r="Q60" s="10" t="s">
        <v>77</v>
      </c>
      <c r="R60" s="10"/>
      <c r="S60" s="10"/>
      <c r="T60" s="10"/>
      <c r="U60" s="10"/>
    </row>
    <row r="61" spans="2:22" x14ac:dyDescent="0.45">
      <c r="B61" s="6" t="s">
        <v>24</v>
      </c>
      <c r="C61" s="23" t="s">
        <v>44</v>
      </c>
      <c r="D61" s="23"/>
      <c r="E61" s="23"/>
      <c r="F61" s="23" t="s">
        <v>26</v>
      </c>
      <c r="G61" s="29" t="s">
        <v>26</v>
      </c>
      <c r="H61" s="23" t="s">
        <v>26</v>
      </c>
      <c r="I61" s="27" t="s">
        <v>34</v>
      </c>
      <c r="J61" s="28" t="s">
        <v>26</v>
      </c>
      <c r="L61" s="9" t="s">
        <v>0</v>
      </c>
      <c r="M61" s="9" t="s">
        <v>35</v>
      </c>
      <c r="N61" s="9" t="s">
        <v>28</v>
      </c>
      <c r="O61" s="9" t="s">
        <v>29</v>
      </c>
      <c r="P61" s="9" t="s">
        <v>29</v>
      </c>
      <c r="Q61" s="10"/>
      <c r="R61" s="10"/>
      <c r="S61" s="10"/>
      <c r="T61" s="10"/>
      <c r="U61" s="10"/>
    </row>
    <row r="62" spans="2:22" x14ac:dyDescent="0.45">
      <c r="B62">
        <v>7</v>
      </c>
      <c r="C62" s="23"/>
      <c r="D62" s="23"/>
      <c r="E62" s="23"/>
      <c r="F62" s="23"/>
      <c r="G62" s="29"/>
      <c r="H62" s="23"/>
      <c r="I62" s="27"/>
      <c r="J62" s="28"/>
      <c r="L62" s="11" t="s">
        <v>5</v>
      </c>
      <c r="M62" s="11" t="s">
        <v>45</v>
      </c>
      <c r="N62" s="11" t="s">
        <v>31</v>
      </c>
      <c r="O62" s="11" t="s">
        <v>31</v>
      </c>
      <c r="P62" s="11">
        <v>0</v>
      </c>
      <c r="Q62" s="11" t="s">
        <v>88</v>
      </c>
      <c r="R62" s="11" t="s">
        <v>37</v>
      </c>
      <c r="S62" s="11" t="s">
        <v>65</v>
      </c>
      <c r="T62" s="11" t="s">
        <v>65</v>
      </c>
      <c r="U62" s="11" t="s">
        <v>67</v>
      </c>
      <c r="V62" s="11" t="s">
        <v>31</v>
      </c>
    </row>
    <row r="63" spans="2:22" x14ac:dyDescent="0.45">
      <c r="C63" s="23"/>
      <c r="D63" s="23"/>
      <c r="E63" s="23"/>
      <c r="F63" s="23"/>
      <c r="G63" s="29"/>
      <c r="H63" s="23"/>
      <c r="I63" s="27"/>
      <c r="J63" s="28"/>
      <c r="L63" s="12" t="s">
        <v>15</v>
      </c>
      <c r="M63" s="13" t="s">
        <v>54</v>
      </c>
      <c r="N63" s="10"/>
      <c r="O63" s="10"/>
      <c r="P63" s="10"/>
      <c r="Q63" s="10"/>
      <c r="R63" s="10"/>
      <c r="S63" s="10" t="s">
        <v>68</v>
      </c>
      <c r="T63" s="10" t="s">
        <v>68</v>
      </c>
      <c r="U63" s="10" t="s">
        <v>66</v>
      </c>
      <c r="V63" s="10" t="s">
        <v>89</v>
      </c>
    </row>
    <row r="64" spans="2:22" x14ac:dyDescent="0.45">
      <c r="C64" s="23"/>
      <c r="D64" s="23"/>
      <c r="E64" s="23"/>
      <c r="F64" s="23"/>
      <c r="G64" s="29"/>
      <c r="H64" s="23"/>
      <c r="I64" s="27"/>
      <c r="J64" s="28"/>
      <c r="L64" s="14" t="s">
        <v>17</v>
      </c>
      <c r="M64" s="14"/>
      <c r="N64" s="14" t="s">
        <v>26</v>
      </c>
      <c r="O64" s="14" t="s">
        <v>26</v>
      </c>
      <c r="P64" s="14"/>
      <c r="Q64" s="21">
        <f>16*(48/4)*B62</f>
        <v>1344</v>
      </c>
      <c r="R64" s="14" t="s">
        <v>26</v>
      </c>
      <c r="S64" s="10"/>
      <c r="T64" s="10"/>
      <c r="U64" s="10"/>
    </row>
    <row r="65" spans="1:22" x14ac:dyDescent="0.45">
      <c r="C65" s="23"/>
      <c r="D65" s="23"/>
      <c r="E65" s="23"/>
      <c r="F65" s="23"/>
      <c r="G65" s="29"/>
      <c r="H65" s="23"/>
      <c r="I65" s="27"/>
      <c r="J65" s="28"/>
      <c r="L65" s="15" t="s">
        <v>23</v>
      </c>
      <c r="M65" s="16" t="s">
        <v>26</v>
      </c>
      <c r="N65" s="10"/>
      <c r="O65" s="10"/>
      <c r="P65" s="10"/>
      <c r="Q65" s="10" t="s">
        <v>78</v>
      </c>
      <c r="R65" s="10"/>
      <c r="S65" s="10"/>
      <c r="T65" s="10"/>
      <c r="U65" s="10"/>
    </row>
    <row r="66" spans="1:22" x14ac:dyDescent="0.45">
      <c r="B66" s="6" t="s">
        <v>70</v>
      </c>
      <c r="C66" s="23" t="s">
        <v>33</v>
      </c>
      <c r="D66" s="23"/>
      <c r="E66" s="23"/>
      <c r="F66" s="27" t="s">
        <v>34</v>
      </c>
      <c r="G66" s="27" t="s">
        <v>34</v>
      </c>
      <c r="H66" s="27" t="s">
        <v>34</v>
      </c>
      <c r="I66" s="28" t="s">
        <v>26</v>
      </c>
      <c r="J66" s="24" t="s">
        <v>34</v>
      </c>
      <c r="L66" s="9" t="s">
        <v>0</v>
      </c>
      <c r="M66" s="9" t="s">
        <v>35</v>
      </c>
      <c r="N66" s="9" t="s">
        <v>48</v>
      </c>
      <c r="O66" s="9" t="s">
        <v>29</v>
      </c>
      <c r="P66" s="9" t="s">
        <v>29</v>
      </c>
      <c r="Q66" s="10"/>
      <c r="R66" s="10"/>
      <c r="S66" s="10"/>
      <c r="T66" s="10"/>
      <c r="U66" s="10"/>
    </row>
    <row r="67" spans="1:22" x14ac:dyDescent="0.45">
      <c r="B67">
        <v>2</v>
      </c>
      <c r="C67" s="23"/>
      <c r="D67" s="23"/>
      <c r="E67" s="23"/>
      <c r="F67" s="27"/>
      <c r="G67" s="27"/>
      <c r="H67" s="27"/>
      <c r="I67" s="28"/>
      <c r="J67" s="24"/>
      <c r="L67" s="11" t="s">
        <v>5</v>
      </c>
      <c r="M67" s="11" t="s">
        <v>37</v>
      </c>
      <c r="N67" s="11" t="s">
        <v>37</v>
      </c>
      <c r="O67" s="11" t="s">
        <v>29</v>
      </c>
      <c r="P67" s="11">
        <v>1</v>
      </c>
      <c r="Q67" s="11" t="s">
        <v>29</v>
      </c>
      <c r="R67" s="11" t="s">
        <v>29</v>
      </c>
      <c r="S67" s="11" t="s">
        <v>38</v>
      </c>
      <c r="T67" s="11" t="s">
        <v>65</v>
      </c>
      <c r="U67" s="11" t="s">
        <v>31</v>
      </c>
      <c r="V67" s="11" t="s">
        <v>31</v>
      </c>
    </row>
    <row r="68" spans="1:22" x14ac:dyDescent="0.45">
      <c r="C68" s="23"/>
      <c r="D68" s="23"/>
      <c r="E68" s="23"/>
      <c r="F68" s="27"/>
      <c r="G68" s="27"/>
      <c r="H68" s="27"/>
      <c r="I68" s="28"/>
      <c r="J68" s="24"/>
      <c r="L68" s="12" t="s">
        <v>15</v>
      </c>
      <c r="M68" s="13" t="s">
        <v>55</v>
      </c>
      <c r="N68" s="10"/>
      <c r="O68" s="10"/>
      <c r="P68" s="10"/>
      <c r="Q68" s="10"/>
      <c r="R68" s="10"/>
      <c r="S68" s="10" t="s">
        <v>47</v>
      </c>
      <c r="T68" s="10" t="s">
        <v>64</v>
      </c>
      <c r="U68" s="10" t="s">
        <v>89</v>
      </c>
      <c r="V68" s="10" t="s">
        <v>89</v>
      </c>
    </row>
    <row r="69" spans="1:22" x14ac:dyDescent="0.45">
      <c r="C69" s="23"/>
      <c r="D69" s="23"/>
      <c r="E69" s="23"/>
      <c r="F69" s="27"/>
      <c r="G69" s="27"/>
      <c r="H69" s="27"/>
      <c r="I69" s="28"/>
      <c r="J69" s="24"/>
      <c r="L69" s="14" t="s">
        <v>17</v>
      </c>
      <c r="M69" s="14"/>
      <c r="N69" s="21">
        <f>8*(96/4)*B67</f>
        <v>384</v>
      </c>
      <c r="O69" s="14" t="s">
        <v>26</v>
      </c>
      <c r="P69" s="14"/>
      <c r="Q69" s="14" t="s">
        <v>26</v>
      </c>
      <c r="R69" s="14" t="s">
        <v>26</v>
      </c>
      <c r="S69" s="10"/>
      <c r="T69" s="10"/>
      <c r="U69" s="10"/>
    </row>
    <row r="70" spans="1:22" x14ac:dyDescent="0.45">
      <c r="C70" s="23"/>
      <c r="D70" s="23"/>
      <c r="E70" s="23"/>
      <c r="F70" s="27"/>
      <c r="G70" s="27"/>
      <c r="H70" s="27"/>
      <c r="I70" s="28"/>
      <c r="J70" s="24"/>
      <c r="L70" s="15" t="s">
        <v>23</v>
      </c>
      <c r="M70" s="16" t="s">
        <v>26</v>
      </c>
      <c r="N70" s="10" t="s">
        <v>95</v>
      </c>
      <c r="O70" s="10"/>
      <c r="P70" s="10"/>
      <c r="Q70" s="10"/>
      <c r="R70" s="10"/>
      <c r="S70" s="10"/>
      <c r="T70" s="10"/>
      <c r="U70" s="10"/>
    </row>
    <row r="71" spans="1:22" x14ac:dyDescent="0.45">
      <c r="C71" s="17"/>
      <c r="D71" s="17"/>
      <c r="E71" s="17"/>
      <c r="F71" s="18"/>
      <c r="G71" s="18"/>
      <c r="H71" s="18"/>
      <c r="I71" s="19"/>
      <c r="J71" s="20"/>
      <c r="N71" s="10"/>
      <c r="O71" s="10"/>
      <c r="P71" s="10"/>
      <c r="Q71" s="10"/>
      <c r="R71" s="10"/>
      <c r="S71" s="10"/>
      <c r="T71" s="10"/>
      <c r="U71" s="10"/>
    </row>
    <row r="72" spans="1:22" x14ac:dyDescent="0.45">
      <c r="P72" s="10"/>
    </row>
    <row r="73" spans="1:22" x14ac:dyDescent="0.45">
      <c r="A73" t="s">
        <v>56</v>
      </c>
      <c r="B73" s="6" t="s">
        <v>24</v>
      </c>
      <c r="C73" s="23" t="s">
        <v>25</v>
      </c>
      <c r="D73" s="23"/>
      <c r="E73" s="23"/>
      <c r="F73" s="23"/>
      <c r="G73" s="23" t="s">
        <v>26</v>
      </c>
      <c r="H73" s="29" t="s">
        <v>26</v>
      </c>
      <c r="I73" s="25" t="s">
        <v>41</v>
      </c>
      <c r="J73" s="23"/>
      <c r="L73" s="9" t="s">
        <v>0</v>
      </c>
      <c r="M73" s="9" t="s">
        <v>27</v>
      </c>
      <c r="N73" s="9" t="s">
        <v>42</v>
      </c>
      <c r="O73" s="9" t="s">
        <v>29</v>
      </c>
      <c r="P73" s="9" t="s">
        <v>29</v>
      </c>
      <c r="Q73" s="10"/>
      <c r="R73" s="10"/>
      <c r="S73" s="10"/>
      <c r="T73" s="10"/>
      <c r="U73" s="10"/>
    </row>
    <row r="74" spans="1:22" x14ac:dyDescent="0.45">
      <c r="B74">
        <v>8</v>
      </c>
      <c r="C74" s="23"/>
      <c r="D74" s="23"/>
      <c r="E74" s="23"/>
      <c r="F74" s="23"/>
      <c r="G74" s="23"/>
      <c r="H74" s="29"/>
      <c r="I74" s="26"/>
      <c r="J74" s="23"/>
      <c r="L74" s="11" t="s">
        <v>5</v>
      </c>
      <c r="M74" s="11" t="s">
        <v>26</v>
      </c>
      <c r="N74" s="11" t="s">
        <v>26</v>
      </c>
      <c r="O74" s="11" t="s">
        <v>26</v>
      </c>
      <c r="P74" s="11">
        <v>0</v>
      </c>
      <c r="Q74" s="11" t="s">
        <v>26</v>
      </c>
      <c r="R74" s="11" t="s">
        <v>26</v>
      </c>
      <c r="S74" s="11" t="s">
        <v>26</v>
      </c>
      <c r="T74" s="11" t="s">
        <v>26</v>
      </c>
      <c r="U74" s="11" t="s">
        <v>26</v>
      </c>
      <c r="V74" s="11" t="s">
        <v>26</v>
      </c>
    </row>
    <row r="75" spans="1:22" x14ac:dyDescent="0.45">
      <c r="C75" s="23"/>
      <c r="D75" s="23"/>
      <c r="E75" s="23"/>
      <c r="F75" s="23"/>
      <c r="G75" s="23"/>
      <c r="H75" s="29"/>
      <c r="I75" s="26"/>
      <c r="J75" s="23"/>
      <c r="L75" s="12" t="s">
        <v>15</v>
      </c>
      <c r="M75" s="13" t="s">
        <v>43</v>
      </c>
      <c r="N75" s="10"/>
      <c r="O75" s="10"/>
      <c r="P75" s="10"/>
      <c r="Q75" s="10"/>
      <c r="R75" s="10"/>
      <c r="S75" s="10"/>
      <c r="T75" s="10"/>
      <c r="U75" s="10"/>
      <c r="V75" s="10"/>
    </row>
    <row r="76" spans="1:22" x14ac:dyDescent="0.45">
      <c r="C76" s="23"/>
      <c r="D76" s="23"/>
      <c r="E76" s="23"/>
      <c r="F76" s="23"/>
      <c r="G76" s="23"/>
      <c r="H76" s="29"/>
      <c r="I76" s="26"/>
      <c r="J76" s="23"/>
      <c r="L76" s="14" t="s">
        <v>17</v>
      </c>
      <c r="M76" s="14"/>
      <c r="N76" s="14" t="s">
        <v>26</v>
      </c>
      <c r="O76" s="14" t="s">
        <v>26</v>
      </c>
      <c r="P76" s="14"/>
      <c r="Q76" s="21">
        <f>16*(48/4)*B74</f>
        <v>1536</v>
      </c>
      <c r="R76" s="14" t="s">
        <v>26</v>
      </c>
      <c r="S76" s="10"/>
      <c r="T76" s="10"/>
      <c r="U76" s="10"/>
    </row>
    <row r="77" spans="1:22" x14ac:dyDescent="0.45">
      <c r="C77" s="23"/>
      <c r="D77" s="23"/>
      <c r="E77" s="23"/>
      <c r="F77" s="23"/>
      <c r="G77" s="23"/>
      <c r="H77" s="29"/>
      <c r="I77" s="26"/>
      <c r="J77" s="23"/>
      <c r="L77" s="15" t="s">
        <v>23</v>
      </c>
      <c r="M77" s="16" t="s">
        <v>26</v>
      </c>
      <c r="N77" s="10"/>
      <c r="O77" s="10"/>
      <c r="P77" s="10"/>
      <c r="Q77" s="10" t="s">
        <v>79</v>
      </c>
      <c r="R77" s="10"/>
      <c r="S77" s="10"/>
      <c r="T77" s="10"/>
      <c r="U77" s="10"/>
    </row>
    <row r="78" spans="1:22" x14ac:dyDescent="0.45">
      <c r="B78" s="6" t="s">
        <v>24</v>
      </c>
      <c r="C78" s="23" t="s">
        <v>44</v>
      </c>
      <c r="D78" s="23"/>
      <c r="E78" s="23"/>
      <c r="F78" s="29" t="s">
        <v>26</v>
      </c>
      <c r="G78" s="23" t="s">
        <v>26</v>
      </c>
      <c r="H78" s="23" t="s">
        <v>26</v>
      </c>
      <c r="I78" s="27" t="s">
        <v>34</v>
      </c>
      <c r="J78" s="28" t="s">
        <v>26</v>
      </c>
      <c r="L78" s="9" t="s">
        <v>0</v>
      </c>
      <c r="M78" s="9" t="s">
        <v>35</v>
      </c>
      <c r="N78" s="9" t="s">
        <v>28</v>
      </c>
      <c r="O78" s="9" t="s">
        <v>29</v>
      </c>
      <c r="P78" s="9" t="s">
        <v>29</v>
      </c>
      <c r="Q78" s="10"/>
      <c r="R78" s="10"/>
      <c r="S78" s="10"/>
      <c r="T78" s="10"/>
      <c r="U78" s="10"/>
    </row>
    <row r="79" spans="1:22" x14ac:dyDescent="0.45">
      <c r="B79">
        <v>9</v>
      </c>
      <c r="C79" s="23"/>
      <c r="D79" s="23"/>
      <c r="E79" s="23"/>
      <c r="F79" s="29"/>
      <c r="G79" s="23"/>
      <c r="H79" s="23"/>
      <c r="I79" s="27"/>
      <c r="J79" s="28"/>
      <c r="L79" s="11" t="s">
        <v>5</v>
      </c>
      <c r="M79" s="11" t="s">
        <v>45</v>
      </c>
      <c r="N79" s="11" t="s">
        <v>31</v>
      </c>
      <c r="O79" s="11" t="s">
        <v>31</v>
      </c>
      <c r="P79" s="11">
        <v>0</v>
      </c>
      <c r="Q79" s="11" t="s">
        <v>88</v>
      </c>
      <c r="R79" s="11" t="s">
        <v>37</v>
      </c>
      <c r="S79" s="11" t="s">
        <v>65</v>
      </c>
      <c r="T79" s="11" t="s">
        <v>65</v>
      </c>
      <c r="U79" s="11" t="s">
        <v>67</v>
      </c>
      <c r="V79" s="11" t="s">
        <v>31</v>
      </c>
    </row>
    <row r="80" spans="1:22" x14ac:dyDescent="0.45">
      <c r="C80" s="23"/>
      <c r="D80" s="23"/>
      <c r="E80" s="23"/>
      <c r="F80" s="29"/>
      <c r="G80" s="23"/>
      <c r="H80" s="23"/>
      <c r="I80" s="27"/>
      <c r="J80" s="28"/>
      <c r="L80" s="12" t="s">
        <v>15</v>
      </c>
      <c r="M80" s="13" t="s">
        <v>46</v>
      </c>
      <c r="N80" s="10"/>
      <c r="O80" s="10"/>
      <c r="P80" s="10"/>
      <c r="Q80" s="10"/>
      <c r="R80" s="10"/>
      <c r="S80" s="10" t="s">
        <v>68</v>
      </c>
      <c r="T80" s="10" t="s">
        <v>68</v>
      </c>
      <c r="U80" s="10" t="s">
        <v>66</v>
      </c>
      <c r="V80" s="10" t="s">
        <v>89</v>
      </c>
    </row>
    <row r="81" spans="2:22" x14ac:dyDescent="0.45">
      <c r="C81" s="23"/>
      <c r="D81" s="23"/>
      <c r="E81" s="23"/>
      <c r="F81" s="29"/>
      <c r="G81" s="23"/>
      <c r="H81" s="23"/>
      <c r="I81" s="27"/>
      <c r="J81" s="28"/>
      <c r="L81" s="14" t="s">
        <v>17</v>
      </c>
      <c r="M81" s="14"/>
      <c r="N81" s="14" t="s">
        <v>26</v>
      </c>
      <c r="O81" s="14" t="s">
        <v>26</v>
      </c>
      <c r="P81" s="14"/>
      <c r="Q81" s="21">
        <f>16*(48/4)*B79</f>
        <v>1728</v>
      </c>
      <c r="R81" s="14" t="s">
        <v>26</v>
      </c>
      <c r="S81" s="10"/>
      <c r="T81" s="10"/>
      <c r="U81" s="10"/>
    </row>
    <row r="82" spans="2:22" x14ac:dyDescent="0.45">
      <c r="C82" s="23"/>
      <c r="D82" s="23"/>
      <c r="E82" s="23"/>
      <c r="F82" s="29"/>
      <c r="G82" s="23"/>
      <c r="H82" s="23"/>
      <c r="I82" s="27"/>
      <c r="J82" s="28"/>
      <c r="L82" s="15" t="s">
        <v>23</v>
      </c>
      <c r="M82" s="16" t="s">
        <v>26</v>
      </c>
      <c r="N82" s="10"/>
      <c r="O82" s="10"/>
      <c r="P82" s="10"/>
      <c r="Q82" s="10" t="s">
        <v>80</v>
      </c>
      <c r="R82" s="10"/>
      <c r="S82" s="10"/>
      <c r="T82" s="10"/>
      <c r="U82" s="10"/>
    </row>
    <row r="83" spans="2:22" x14ac:dyDescent="0.45">
      <c r="B83" s="6" t="s">
        <v>70</v>
      </c>
      <c r="C83" s="23" t="s">
        <v>33</v>
      </c>
      <c r="D83" s="23"/>
      <c r="E83" s="23"/>
      <c r="F83" s="27" t="s">
        <v>34</v>
      </c>
      <c r="G83" s="27" t="s">
        <v>34</v>
      </c>
      <c r="H83" s="27" t="s">
        <v>34</v>
      </c>
      <c r="I83" s="28" t="s">
        <v>26</v>
      </c>
      <c r="J83" s="24" t="s">
        <v>34</v>
      </c>
      <c r="L83" s="9" t="s">
        <v>0</v>
      </c>
      <c r="M83" s="9" t="s">
        <v>35</v>
      </c>
      <c r="N83" s="9" t="s">
        <v>48</v>
      </c>
      <c r="O83" s="9" t="s">
        <v>29</v>
      </c>
      <c r="P83" s="9" t="s">
        <v>29</v>
      </c>
      <c r="Q83" s="10"/>
      <c r="R83" s="10"/>
      <c r="S83" s="10"/>
      <c r="T83" s="10"/>
      <c r="U83" s="10"/>
    </row>
    <row r="84" spans="2:22" x14ac:dyDescent="0.45">
      <c r="B84">
        <v>3</v>
      </c>
      <c r="C84" s="23"/>
      <c r="D84" s="23"/>
      <c r="E84" s="23"/>
      <c r="F84" s="27"/>
      <c r="G84" s="27"/>
      <c r="H84" s="27"/>
      <c r="I84" s="28"/>
      <c r="J84" s="24"/>
      <c r="L84" s="11" t="s">
        <v>5</v>
      </c>
      <c r="M84" s="11" t="s">
        <v>37</v>
      </c>
      <c r="N84" s="11" t="s">
        <v>37</v>
      </c>
      <c r="O84" s="11" t="s">
        <v>29</v>
      </c>
      <c r="P84" s="11">
        <v>1</v>
      </c>
      <c r="Q84" s="11" t="s">
        <v>29</v>
      </c>
      <c r="R84" s="11" t="s">
        <v>29</v>
      </c>
      <c r="S84" s="11" t="s">
        <v>38</v>
      </c>
      <c r="T84" s="11" t="s">
        <v>65</v>
      </c>
      <c r="U84" s="11" t="s">
        <v>31</v>
      </c>
      <c r="V84" s="11" t="s">
        <v>31</v>
      </c>
    </row>
    <row r="85" spans="2:22" x14ac:dyDescent="0.45">
      <c r="C85" s="23"/>
      <c r="D85" s="23"/>
      <c r="E85" s="23"/>
      <c r="F85" s="27"/>
      <c r="G85" s="27"/>
      <c r="H85" s="27"/>
      <c r="I85" s="28"/>
      <c r="J85" s="24"/>
      <c r="L85" s="12" t="s">
        <v>15</v>
      </c>
      <c r="M85" s="13" t="s">
        <v>49</v>
      </c>
      <c r="N85" s="10"/>
      <c r="O85" s="10"/>
      <c r="P85" s="10"/>
      <c r="Q85" s="10"/>
      <c r="R85" s="10"/>
      <c r="S85" s="10" t="s">
        <v>47</v>
      </c>
      <c r="T85" s="10" t="s">
        <v>64</v>
      </c>
      <c r="U85" s="10" t="s">
        <v>89</v>
      </c>
      <c r="V85" s="10" t="s">
        <v>89</v>
      </c>
    </row>
    <row r="86" spans="2:22" x14ac:dyDescent="0.45">
      <c r="C86" s="23"/>
      <c r="D86" s="23"/>
      <c r="E86" s="23"/>
      <c r="F86" s="27"/>
      <c r="G86" s="27"/>
      <c r="H86" s="27"/>
      <c r="I86" s="28"/>
      <c r="J86" s="24"/>
      <c r="L86" s="14" t="s">
        <v>17</v>
      </c>
      <c r="M86" s="14"/>
      <c r="N86" s="21">
        <f>8*(96/4)*B84</f>
        <v>576</v>
      </c>
      <c r="O86" s="14" t="s">
        <v>26</v>
      </c>
      <c r="P86" s="14"/>
      <c r="Q86" s="14" t="s">
        <v>26</v>
      </c>
      <c r="R86" s="14" t="s">
        <v>26</v>
      </c>
      <c r="S86" s="10"/>
      <c r="T86" s="10"/>
      <c r="U86" s="10"/>
    </row>
    <row r="87" spans="2:22" x14ac:dyDescent="0.45">
      <c r="C87" s="23"/>
      <c r="D87" s="23"/>
      <c r="E87" s="23"/>
      <c r="F87" s="27"/>
      <c r="G87" s="27"/>
      <c r="H87" s="27"/>
      <c r="I87" s="28"/>
      <c r="J87" s="24"/>
      <c r="L87" s="15" t="s">
        <v>23</v>
      </c>
      <c r="M87" s="16" t="s">
        <v>26</v>
      </c>
      <c r="N87" s="10" t="s">
        <v>96</v>
      </c>
      <c r="O87" s="10"/>
      <c r="P87" s="10"/>
      <c r="Q87" s="10"/>
      <c r="R87" s="10"/>
      <c r="S87" s="10"/>
      <c r="T87" s="10"/>
      <c r="U87" s="10"/>
    </row>
    <row r="88" spans="2:22" x14ac:dyDescent="0.45">
      <c r="P88" s="10"/>
    </row>
    <row r="89" spans="2:22" x14ac:dyDescent="0.45">
      <c r="B89" s="6" t="s">
        <v>24</v>
      </c>
      <c r="C89" s="23" t="s">
        <v>25</v>
      </c>
      <c r="D89" s="23"/>
      <c r="E89" s="23"/>
      <c r="F89" s="23" t="s">
        <v>26</v>
      </c>
      <c r="G89" s="29" t="s">
        <v>26</v>
      </c>
      <c r="H89" s="23"/>
      <c r="I89" s="25" t="s">
        <v>41</v>
      </c>
      <c r="J89" s="23"/>
      <c r="L89" s="9" t="s">
        <v>0</v>
      </c>
      <c r="M89" s="9" t="s">
        <v>27</v>
      </c>
      <c r="N89" s="9" t="s">
        <v>42</v>
      </c>
      <c r="O89" s="9" t="s">
        <v>29</v>
      </c>
      <c r="P89" s="9" t="s">
        <v>29</v>
      </c>
      <c r="Q89" s="10"/>
      <c r="R89" s="10"/>
      <c r="S89" s="10"/>
      <c r="T89" s="10"/>
      <c r="U89" s="10"/>
    </row>
    <row r="90" spans="2:22" x14ac:dyDescent="0.45">
      <c r="B90">
        <v>10</v>
      </c>
      <c r="C90" s="23"/>
      <c r="D90" s="23"/>
      <c r="E90" s="23"/>
      <c r="F90" s="23"/>
      <c r="G90" s="29"/>
      <c r="H90" s="23"/>
      <c r="I90" s="26"/>
      <c r="J90" s="23"/>
      <c r="L90" s="11" t="s">
        <v>5</v>
      </c>
      <c r="M90" s="11" t="s">
        <v>26</v>
      </c>
      <c r="N90" s="11" t="s">
        <v>26</v>
      </c>
      <c r="O90" s="11" t="s">
        <v>26</v>
      </c>
      <c r="P90" s="11">
        <v>0</v>
      </c>
      <c r="Q90" s="11" t="s">
        <v>26</v>
      </c>
      <c r="R90" s="11" t="s">
        <v>26</v>
      </c>
      <c r="S90" s="11" t="s">
        <v>26</v>
      </c>
      <c r="T90" s="11" t="s">
        <v>26</v>
      </c>
      <c r="U90" s="11" t="s">
        <v>26</v>
      </c>
      <c r="V90" s="11" t="s">
        <v>26</v>
      </c>
    </row>
    <row r="91" spans="2:22" x14ac:dyDescent="0.45">
      <c r="C91" s="23"/>
      <c r="D91" s="23"/>
      <c r="E91" s="23"/>
      <c r="F91" s="23"/>
      <c r="G91" s="29"/>
      <c r="H91" s="23"/>
      <c r="I91" s="26"/>
      <c r="J91" s="23"/>
      <c r="L91" s="12" t="s">
        <v>15</v>
      </c>
      <c r="M91" s="13" t="s">
        <v>50</v>
      </c>
      <c r="N91" s="10"/>
      <c r="O91" s="10"/>
      <c r="P91" s="10"/>
      <c r="Q91" s="10"/>
      <c r="R91" s="10"/>
      <c r="S91" s="10"/>
      <c r="T91" s="10"/>
      <c r="U91" s="10"/>
      <c r="V91" s="10"/>
    </row>
    <row r="92" spans="2:22" x14ac:dyDescent="0.45">
      <c r="C92" s="23"/>
      <c r="D92" s="23"/>
      <c r="E92" s="23"/>
      <c r="F92" s="23"/>
      <c r="G92" s="29"/>
      <c r="H92" s="23"/>
      <c r="I92" s="26"/>
      <c r="J92" s="23"/>
      <c r="L92" s="14" t="s">
        <v>17</v>
      </c>
      <c r="M92" s="14"/>
      <c r="N92" s="14" t="s">
        <v>26</v>
      </c>
      <c r="O92" s="14" t="s">
        <v>26</v>
      </c>
      <c r="P92" s="14"/>
      <c r="Q92" s="21">
        <f>16*(48/4)*B90</f>
        <v>1920</v>
      </c>
      <c r="R92" s="14" t="s">
        <v>26</v>
      </c>
      <c r="S92" s="10"/>
      <c r="T92" s="10"/>
      <c r="U92" s="10"/>
    </row>
    <row r="93" spans="2:22" x14ac:dyDescent="0.45">
      <c r="C93" s="23"/>
      <c r="D93" s="23"/>
      <c r="E93" s="23"/>
      <c r="F93" s="23"/>
      <c r="G93" s="29"/>
      <c r="H93" s="23"/>
      <c r="I93" s="26"/>
      <c r="J93" s="23"/>
      <c r="L93" s="15" t="s">
        <v>23</v>
      </c>
      <c r="M93" s="16" t="s">
        <v>26</v>
      </c>
      <c r="N93" s="10"/>
      <c r="O93" s="10"/>
      <c r="P93" s="10"/>
      <c r="Q93" s="10" t="s">
        <v>81</v>
      </c>
      <c r="R93" s="10"/>
      <c r="S93" s="10"/>
      <c r="T93" s="10"/>
      <c r="U93" s="10"/>
    </row>
    <row r="94" spans="2:22" x14ac:dyDescent="0.45">
      <c r="B94" s="6" t="s">
        <v>24</v>
      </c>
      <c r="C94" s="23" t="s">
        <v>44</v>
      </c>
      <c r="D94" s="23"/>
      <c r="E94" s="23"/>
      <c r="F94" s="23" t="s">
        <v>26</v>
      </c>
      <c r="G94" s="23" t="s">
        <v>26</v>
      </c>
      <c r="H94" s="29" t="s">
        <v>26</v>
      </c>
      <c r="I94" s="27" t="s">
        <v>34</v>
      </c>
      <c r="J94" s="28" t="s">
        <v>26</v>
      </c>
      <c r="L94" s="9" t="s">
        <v>0</v>
      </c>
      <c r="M94" s="9" t="s">
        <v>35</v>
      </c>
      <c r="N94" s="9" t="s">
        <v>28</v>
      </c>
      <c r="O94" s="9" t="s">
        <v>29</v>
      </c>
      <c r="P94" s="9" t="s">
        <v>29</v>
      </c>
      <c r="Q94" s="10"/>
      <c r="R94" s="10"/>
      <c r="S94" s="10"/>
      <c r="T94" s="10"/>
      <c r="U94" s="10"/>
    </row>
    <row r="95" spans="2:22" x14ac:dyDescent="0.45">
      <c r="B95">
        <v>11</v>
      </c>
      <c r="C95" s="23"/>
      <c r="D95" s="23"/>
      <c r="E95" s="23"/>
      <c r="F95" s="23"/>
      <c r="G95" s="23"/>
      <c r="H95" s="29"/>
      <c r="I95" s="27"/>
      <c r="J95" s="28"/>
      <c r="L95" s="11" t="s">
        <v>5</v>
      </c>
      <c r="M95" s="11" t="s">
        <v>45</v>
      </c>
      <c r="N95" s="11" t="s">
        <v>31</v>
      </c>
      <c r="O95" s="11" t="s">
        <v>31</v>
      </c>
      <c r="P95" s="11">
        <v>0</v>
      </c>
      <c r="Q95" s="11" t="s">
        <v>88</v>
      </c>
      <c r="R95" s="11" t="s">
        <v>37</v>
      </c>
      <c r="S95" s="11" t="s">
        <v>65</v>
      </c>
      <c r="T95" s="11" t="s">
        <v>65</v>
      </c>
      <c r="U95" s="11" t="s">
        <v>67</v>
      </c>
      <c r="V95" s="11" t="s">
        <v>31</v>
      </c>
    </row>
    <row r="96" spans="2:22" x14ac:dyDescent="0.45">
      <c r="C96" s="23"/>
      <c r="D96" s="23"/>
      <c r="E96" s="23"/>
      <c r="F96" s="23"/>
      <c r="G96" s="23"/>
      <c r="H96" s="29"/>
      <c r="I96" s="27"/>
      <c r="J96" s="28"/>
      <c r="L96" s="12" t="s">
        <v>15</v>
      </c>
      <c r="M96" s="13" t="s">
        <v>51</v>
      </c>
      <c r="N96" s="10"/>
      <c r="O96" s="10"/>
      <c r="P96" s="10"/>
      <c r="Q96" s="10"/>
      <c r="R96" s="10"/>
      <c r="S96" s="10" t="s">
        <v>68</v>
      </c>
      <c r="T96" s="10" t="s">
        <v>68</v>
      </c>
      <c r="U96" s="10" t="s">
        <v>66</v>
      </c>
      <c r="V96" s="10" t="s">
        <v>89</v>
      </c>
    </row>
    <row r="97" spans="2:22" x14ac:dyDescent="0.45">
      <c r="C97" s="23"/>
      <c r="D97" s="23"/>
      <c r="E97" s="23"/>
      <c r="F97" s="23"/>
      <c r="G97" s="23"/>
      <c r="H97" s="29"/>
      <c r="I97" s="27"/>
      <c r="J97" s="28"/>
      <c r="L97" s="14" t="s">
        <v>17</v>
      </c>
      <c r="M97" s="14"/>
      <c r="N97" s="14" t="s">
        <v>26</v>
      </c>
      <c r="O97" s="14" t="s">
        <v>26</v>
      </c>
      <c r="P97" s="14"/>
      <c r="Q97" s="21">
        <f>16*(48/4)*B95</f>
        <v>2112</v>
      </c>
      <c r="R97" s="14" t="s">
        <v>26</v>
      </c>
      <c r="S97" s="10"/>
      <c r="T97" s="10"/>
      <c r="U97" s="10"/>
    </row>
    <row r="98" spans="2:22" x14ac:dyDescent="0.45">
      <c r="C98" s="23"/>
      <c r="D98" s="23"/>
      <c r="E98" s="23"/>
      <c r="F98" s="23"/>
      <c r="G98" s="23"/>
      <c r="H98" s="29"/>
      <c r="I98" s="27"/>
      <c r="J98" s="28"/>
      <c r="L98" s="15" t="s">
        <v>23</v>
      </c>
      <c r="M98" s="16" t="s">
        <v>26</v>
      </c>
      <c r="N98" s="10"/>
      <c r="O98" s="10"/>
      <c r="P98" s="10"/>
      <c r="Q98" s="10" t="s">
        <v>82</v>
      </c>
      <c r="R98" s="10"/>
      <c r="S98" s="10"/>
      <c r="T98" s="10"/>
      <c r="U98" s="10"/>
    </row>
    <row r="99" spans="2:22" x14ac:dyDescent="0.45">
      <c r="B99" s="6" t="s">
        <v>70</v>
      </c>
      <c r="C99" s="23" t="s">
        <v>33</v>
      </c>
      <c r="D99" s="23"/>
      <c r="E99" s="23"/>
      <c r="F99" s="27" t="s">
        <v>34</v>
      </c>
      <c r="G99" s="27" t="s">
        <v>34</v>
      </c>
      <c r="H99" s="27" t="s">
        <v>34</v>
      </c>
      <c r="I99" s="28" t="s">
        <v>26</v>
      </c>
      <c r="J99" s="24" t="s">
        <v>34</v>
      </c>
      <c r="L99" s="9" t="s">
        <v>0</v>
      </c>
      <c r="M99" s="9" t="s">
        <v>35</v>
      </c>
      <c r="N99" s="9" t="s">
        <v>48</v>
      </c>
      <c r="O99" s="9" t="s">
        <v>29</v>
      </c>
      <c r="P99" s="9" t="s">
        <v>29</v>
      </c>
      <c r="Q99" s="10"/>
      <c r="R99" s="10"/>
      <c r="S99" s="10"/>
      <c r="T99" s="10"/>
      <c r="U99" s="10"/>
    </row>
    <row r="100" spans="2:22" x14ac:dyDescent="0.45">
      <c r="B100">
        <v>4</v>
      </c>
      <c r="C100" s="23"/>
      <c r="D100" s="23"/>
      <c r="E100" s="23"/>
      <c r="F100" s="27"/>
      <c r="G100" s="27"/>
      <c r="H100" s="27"/>
      <c r="I100" s="28"/>
      <c r="J100" s="24"/>
      <c r="L100" s="11" t="s">
        <v>5</v>
      </c>
      <c r="M100" s="11" t="s">
        <v>37</v>
      </c>
      <c r="N100" s="11" t="s">
        <v>37</v>
      </c>
      <c r="O100" s="11" t="s">
        <v>29</v>
      </c>
      <c r="P100" s="11">
        <v>1</v>
      </c>
      <c r="Q100" s="11" t="s">
        <v>29</v>
      </c>
      <c r="R100" s="11" t="s">
        <v>29</v>
      </c>
      <c r="S100" s="11" t="s">
        <v>38</v>
      </c>
      <c r="T100" s="11" t="s">
        <v>65</v>
      </c>
      <c r="U100" s="11" t="s">
        <v>31</v>
      </c>
      <c r="V100" s="11" t="s">
        <v>31</v>
      </c>
    </row>
    <row r="101" spans="2:22" x14ac:dyDescent="0.45">
      <c r="C101" s="23"/>
      <c r="D101" s="23"/>
      <c r="E101" s="23"/>
      <c r="F101" s="27"/>
      <c r="G101" s="27"/>
      <c r="H101" s="27"/>
      <c r="I101" s="28"/>
      <c r="J101" s="24"/>
      <c r="L101" s="12" t="s">
        <v>15</v>
      </c>
      <c r="M101" s="13" t="s">
        <v>52</v>
      </c>
      <c r="N101" s="10"/>
      <c r="O101" s="10"/>
      <c r="P101" s="10"/>
      <c r="Q101" s="10"/>
      <c r="R101" s="10"/>
      <c r="S101" s="10" t="s">
        <v>47</v>
      </c>
      <c r="T101" s="10" t="s">
        <v>64</v>
      </c>
      <c r="U101" s="10" t="s">
        <v>89</v>
      </c>
      <c r="V101" s="10" t="s">
        <v>89</v>
      </c>
    </row>
    <row r="102" spans="2:22" x14ac:dyDescent="0.45">
      <c r="C102" s="23"/>
      <c r="D102" s="23"/>
      <c r="E102" s="23"/>
      <c r="F102" s="27"/>
      <c r="G102" s="27"/>
      <c r="H102" s="27"/>
      <c r="I102" s="28"/>
      <c r="J102" s="24"/>
      <c r="L102" s="14" t="s">
        <v>17</v>
      </c>
      <c r="M102" s="14"/>
      <c r="N102" s="21">
        <f>8*(96/4)*B100</f>
        <v>768</v>
      </c>
      <c r="O102" s="14" t="s">
        <v>26</v>
      </c>
      <c r="P102" s="14"/>
      <c r="Q102" s="14" t="s">
        <v>26</v>
      </c>
      <c r="R102" s="14" t="s">
        <v>26</v>
      </c>
      <c r="S102" s="10"/>
      <c r="T102" s="10"/>
      <c r="U102" s="10"/>
    </row>
    <row r="103" spans="2:22" x14ac:dyDescent="0.45">
      <c r="C103" s="23"/>
      <c r="D103" s="23"/>
      <c r="E103" s="23"/>
      <c r="F103" s="27"/>
      <c r="G103" s="27"/>
      <c r="H103" s="27"/>
      <c r="I103" s="28"/>
      <c r="J103" s="24"/>
      <c r="L103" s="15" t="s">
        <v>23</v>
      </c>
      <c r="M103" s="16" t="s">
        <v>26</v>
      </c>
      <c r="N103" s="10" t="s">
        <v>97</v>
      </c>
      <c r="O103" s="10"/>
      <c r="P103" s="10"/>
      <c r="Q103" s="10"/>
      <c r="R103" s="10"/>
      <c r="S103" s="10"/>
      <c r="T103" s="10"/>
      <c r="U103" s="10"/>
    </row>
    <row r="104" spans="2:22" x14ac:dyDescent="0.45">
      <c r="P104" s="10"/>
    </row>
    <row r="105" spans="2:22" x14ac:dyDescent="0.45">
      <c r="B105" s="6" t="s">
        <v>24</v>
      </c>
      <c r="C105" s="23" t="s">
        <v>25</v>
      </c>
      <c r="D105" s="23"/>
      <c r="E105" s="23"/>
      <c r="F105" s="29" t="s">
        <v>26</v>
      </c>
      <c r="G105" s="23"/>
      <c r="H105" s="23" t="s">
        <v>26</v>
      </c>
      <c r="I105" s="25" t="s">
        <v>41</v>
      </c>
      <c r="J105" s="23"/>
      <c r="L105" s="9" t="s">
        <v>0</v>
      </c>
      <c r="M105" s="9" t="s">
        <v>27</v>
      </c>
      <c r="N105" s="9" t="s">
        <v>42</v>
      </c>
      <c r="O105" s="9" t="s">
        <v>29</v>
      </c>
      <c r="P105" s="9" t="s">
        <v>29</v>
      </c>
      <c r="Q105" s="10"/>
      <c r="R105" s="10"/>
      <c r="S105" s="10"/>
      <c r="T105" s="10"/>
      <c r="U105" s="10"/>
    </row>
    <row r="106" spans="2:22" x14ac:dyDescent="0.45">
      <c r="B106">
        <v>12</v>
      </c>
      <c r="C106" s="23"/>
      <c r="D106" s="23"/>
      <c r="E106" s="23"/>
      <c r="F106" s="29"/>
      <c r="G106" s="23"/>
      <c r="H106" s="23"/>
      <c r="I106" s="26"/>
      <c r="J106" s="23"/>
      <c r="L106" s="11" t="s">
        <v>5</v>
      </c>
      <c r="M106" s="11" t="s">
        <v>26</v>
      </c>
      <c r="N106" s="11" t="s">
        <v>26</v>
      </c>
      <c r="O106" s="11" t="s">
        <v>26</v>
      </c>
      <c r="P106" s="11">
        <v>0</v>
      </c>
      <c r="Q106" s="11" t="s">
        <v>26</v>
      </c>
      <c r="R106" s="11" t="s">
        <v>26</v>
      </c>
      <c r="S106" s="11" t="s">
        <v>26</v>
      </c>
      <c r="T106" s="11" t="s">
        <v>26</v>
      </c>
      <c r="U106" s="11" t="s">
        <v>26</v>
      </c>
      <c r="V106" s="11" t="s">
        <v>26</v>
      </c>
    </row>
    <row r="107" spans="2:22" x14ac:dyDescent="0.45">
      <c r="C107" s="23"/>
      <c r="D107" s="23"/>
      <c r="E107" s="23"/>
      <c r="F107" s="29"/>
      <c r="G107" s="23"/>
      <c r="H107" s="23"/>
      <c r="I107" s="26"/>
      <c r="J107" s="23"/>
      <c r="L107" s="12" t="s">
        <v>15</v>
      </c>
      <c r="M107" s="13" t="s">
        <v>53</v>
      </c>
      <c r="N107" s="10"/>
      <c r="O107" s="10"/>
      <c r="P107" s="10"/>
      <c r="Q107" s="10"/>
      <c r="R107" s="10"/>
      <c r="S107" s="10"/>
      <c r="T107" s="10"/>
      <c r="U107" s="10"/>
      <c r="V107" s="10"/>
    </row>
    <row r="108" spans="2:22" x14ac:dyDescent="0.45">
      <c r="C108" s="23"/>
      <c r="D108" s="23"/>
      <c r="E108" s="23"/>
      <c r="F108" s="29"/>
      <c r="G108" s="23"/>
      <c r="H108" s="23"/>
      <c r="I108" s="26"/>
      <c r="J108" s="23"/>
      <c r="L108" s="14" t="s">
        <v>17</v>
      </c>
      <c r="M108" s="14"/>
      <c r="N108" s="14" t="s">
        <v>26</v>
      </c>
      <c r="O108" s="14" t="s">
        <v>26</v>
      </c>
      <c r="P108" s="14"/>
      <c r="Q108" s="21">
        <f>16*(48/4)*B106</f>
        <v>2304</v>
      </c>
      <c r="R108" s="14" t="s">
        <v>26</v>
      </c>
      <c r="S108" s="10"/>
      <c r="T108" s="10"/>
      <c r="U108" s="10"/>
    </row>
    <row r="109" spans="2:22" x14ac:dyDescent="0.45">
      <c r="C109" s="23"/>
      <c r="D109" s="23"/>
      <c r="E109" s="23"/>
      <c r="F109" s="29"/>
      <c r="G109" s="23"/>
      <c r="H109" s="23"/>
      <c r="I109" s="26"/>
      <c r="J109" s="23"/>
      <c r="L109" s="15" t="s">
        <v>23</v>
      </c>
      <c r="M109" s="16" t="s">
        <v>26</v>
      </c>
      <c r="N109" s="10"/>
      <c r="O109" s="10"/>
      <c r="P109" s="10"/>
      <c r="Q109" s="10" t="s">
        <v>83</v>
      </c>
      <c r="R109" s="10"/>
      <c r="S109" s="10"/>
      <c r="T109" s="10"/>
      <c r="U109" s="10"/>
    </row>
    <row r="110" spans="2:22" x14ac:dyDescent="0.45">
      <c r="B110" s="6" t="s">
        <v>24</v>
      </c>
      <c r="C110" s="23" t="s">
        <v>44</v>
      </c>
      <c r="D110" s="23"/>
      <c r="E110" s="23"/>
      <c r="F110" s="23" t="s">
        <v>26</v>
      </c>
      <c r="G110" s="29" t="s">
        <v>26</v>
      </c>
      <c r="H110" s="23" t="s">
        <v>26</v>
      </c>
      <c r="I110" s="27" t="s">
        <v>34</v>
      </c>
      <c r="J110" s="28" t="s">
        <v>26</v>
      </c>
      <c r="L110" s="9" t="s">
        <v>0</v>
      </c>
      <c r="M110" s="9" t="s">
        <v>35</v>
      </c>
      <c r="N110" s="9" t="s">
        <v>28</v>
      </c>
      <c r="O110" s="9" t="s">
        <v>29</v>
      </c>
      <c r="P110" s="9" t="s">
        <v>29</v>
      </c>
      <c r="Q110" s="10"/>
      <c r="R110" s="10"/>
      <c r="S110" s="10"/>
      <c r="T110" s="10"/>
      <c r="U110" s="10"/>
    </row>
    <row r="111" spans="2:22" x14ac:dyDescent="0.45">
      <c r="B111">
        <v>13</v>
      </c>
      <c r="C111" s="23"/>
      <c r="D111" s="23"/>
      <c r="E111" s="23"/>
      <c r="F111" s="23"/>
      <c r="G111" s="29"/>
      <c r="H111" s="23"/>
      <c r="I111" s="27"/>
      <c r="J111" s="28"/>
      <c r="L111" s="11" t="s">
        <v>5</v>
      </c>
      <c r="M111" s="11" t="s">
        <v>45</v>
      </c>
      <c r="N111" s="11" t="s">
        <v>31</v>
      </c>
      <c r="O111" s="11" t="s">
        <v>31</v>
      </c>
      <c r="P111" s="11">
        <v>0</v>
      </c>
      <c r="Q111" s="11" t="s">
        <v>88</v>
      </c>
      <c r="R111" s="11" t="s">
        <v>37</v>
      </c>
      <c r="S111" s="11" t="s">
        <v>65</v>
      </c>
      <c r="T111" s="11" t="s">
        <v>65</v>
      </c>
      <c r="U111" s="11" t="s">
        <v>67</v>
      </c>
      <c r="V111" s="11" t="s">
        <v>31</v>
      </c>
    </row>
    <row r="112" spans="2:22" x14ac:dyDescent="0.45">
      <c r="C112" s="23"/>
      <c r="D112" s="23"/>
      <c r="E112" s="23"/>
      <c r="F112" s="23"/>
      <c r="G112" s="29"/>
      <c r="H112" s="23"/>
      <c r="I112" s="27"/>
      <c r="J112" s="28"/>
      <c r="L112" s="12" t="s">
        <v>15</v>
      </c>
      <c r="M112" s="13" t="s">
        <v>54</v>
      </c>
      <c r="N112" s="10"/>
      <c r="O112" s="10"/>
      <c r="P112" s="10"/>
      <c r="Q112" s="10"/>
      <c r="R112" s="10"/>
      <c r="S112" s="10" t="s">
        <v>68</v>
      </c>
      <c r="T112" s="10" t="s">
        <v>68</v>
      </c>
      <c r="U112" s="10" t="s">
        <v>66</v>
      </c>
      <c r="V112" s="10" t="s">
        <v>89</v>
      </c>
    </row>
    <row r="113" spans="1:22" x14ac:dyDescent="0.45">
      <c r="C113" s="23"/>
      <c r="D113" s="23"/>
      <c r="E113" s="23"/>
      <c r="F113" s="23"/>
      <c r="G113" s="29"/>
      <c r="H113" s="23"/>
      <c r="I113" s="27"/>
      <c r="J113" s="28"/>
      <c r="L113" s="14" t="s">
        <v>17</v>
      </c>
      <c r="M113" s="14"/>
      <c r="N113" s="14" t="s">
        <v>26</v>
      </c>
      <c r="O113" s="14" t="s">
        <v>26</v>
      </c>
      <c r="P113" s="14"/>
      <c r="Q113" s="21">
        <f>16*(48/4)*B111</f>
        <v>2496</v>
      </c>
      <c r="R113" s="14" t="s">
        <v>26</v>
      </c>
      <c r="S113" s="10"/>
      <c r="T113" s="10"/>
      <c r="U113" s="10"/>
    </row>
    <row r="114" spans="1:22" x14ac:dyDescent="0.45">
      <c r="C114" s="23"/>
      <c r="D114" s="23"/>
      <c r="E114" s="23"/>
      <c r="F114" s="23"/>
      <c r="G114" s="29"/>
      <c r="H114" s="23"/>
      <c r="I114" s="27"/>
      <c r="J114" s="28"/>
      <c r="L114" s="15" t="s">
        <v>23</v>
      </c>
      <c r="M114" s="16" t="s">
        <v>26</v>
      </c>
      <c r="N114" s="10"/>
      <c r="O114" s="10"/>
      <c r="P114" s="10"/>
      <c r="Q114" s="10" t="s">
        <v>84</v>
      </c>
      <c r="R114" s="10"/>
      <c r="S114" s="10"/>
      <c r="T114" s="10"/>
      <c r="U114" s="10"/>
    </row>
    <row r="115" spans="1:22" x14ac:dyDescent="0.45">
      <c r="B115" s="6" t="s">
        <v>70</v>
      </c>
      <c r="C115" s="23" t="s">
        <v>33</v>
      </c>
      <c r="D115" s="23"/>
      <c r="E115" s="23"/>
      <c r="F115" s="27" t="s">
        <v>34</v>
      </c>
      <c r="G115" s="27" t="s">
        <v>34</v>
      </c>
      <c r="H115" s="27" t="s">
        <v>34</v>
      </c>
      <c r="I115" s="28" t="s">
        <v>26</v>
      </c>
      <c r="J115" s="24" t="s">
        <v>34</v>
      </c>
      <c r="L115" s="9" t="s">
        <v>0</v>
      </c>
      <c r="M115" s="9" t="s">
        <v>35</v>
      </c>
      <c r="N115" s="9" t="s">
        <v>48</v>
      </c>
      <c r="O115" s="9" t="s">
        <v>29</v>
      </c>
      <c r="P115" s="9" t="s">
        <v>29</v>
      </c>
      <c r="Q115" s="10"/>
      <c r="R115" s="10"/>
      <c r="S115" s="10"/>
      <c r="T115" s="10"/>
      <c r="U115" s="10"/>
    </row>
    <row r="116" spans="1:22" x14ac:dyDescent="0.45">
      <c r="B116">
        <v>5</v>
      </c>
      <c r="C116" s="23"/>
      <c r="D116" s="23"/>
      <c r="E116" s="23"/>
      <c r="F116" s="27"/>
      <c r="G116" s="27"/>
      <c r="H116" s="27"/>
      <c r="I116" s="28"/>
      <c r="J116" s="24"/>
      <c r="L116" s="11" t="s">
        <v>5</v>
      </c>
      <c r="M116" s="11" t="s">
        <v>37</v>
      </c>
      <c r="N116" s="11" t="s">
        <v>37</v>
      </c>
      <c r="O116" s="11" t="s">
        <v>29</v>
      </c>
      <c r="P116" s="11">
        <v>1</v>
      </c>
      <c r="Q116" s="11" t="s">
        <v>29</v>
      </c>
      <c r="R116" s="11" t="s">
        <v>29</v>
      </c>
      <c r="S116" s="11" t="s">
        <v>38</v>
      </c>
      <c r="T116" s="11" t="s">
        <v>65</v>
      </c>
      <c r="U116" s="11" t="s">
        <v>31</v>
      </c>
      <c r="V116" s="11" t="s">
        <v>31</v>
      </c>
    </row>
    <row r="117" spans="1:22" x14ac:dyDescent="0.45">
      <c r="C117" s="23"/>
      <c r="D117" s="23"/>
      <c r="E117" s="23"/>
      <c r="F117" s="27"/>
      <c r="G117" s="27"/>
      <c r="H117" s="27"/>
      <c r="I117" s="28"/>
      <c r="J117" s="24"/>
      <c r="L117" s="12" t="s">
        <v>15</v>
      </c>
      <c r="M117" s="13" t="s">
        <v>55</v>
      </c>
      <c r="N117" s="10"/>
      <c r="O117" s="10"/>
      <c r="P117" s="10"/>
      <c r="Q117" s="10"/>
      <c r="R117" s="10"/>
      <c r="S117" s="10" t="s">
        <v>47</v>
      </c>
      <c r="T117" s="10" t="s">
        <v>64</v>
      </c>
      <c r="U117" s="10" t="s">
        <v>89</v>
      </c>
      <c r="V117" s="10" t="s">
        <v>89</v>
      </c>
    </row>
    <row r="118" spans="1:22" x14ac:dyDescent="0.45">
      <c r="C118" s="23"/>
      <c r="D118" s="23"/>
      <c r="E118" s="23"/>
      <c r="F118" s="27"/>
      <c r="G118" s="27"/>
      <c r="H118" s="27"/>
      <c r="I118" s="28"/>
      <c r="J118" s="24"/>
      <c r="L118" s="14" t="s">
        <v>17</v>
      </c>
      <c r="M118" s="14"/>
      <c r="N118" s="21">
        <f>8*(96/4)*B116</f>
        <v>960</v>
      </c>
      <c r="O118" s="14" t="s">
        <v>26</v>
      </c>
      <c r="P118" s="14"/>
      <c r="Q118" s="14" t="s">
        <v>26</v>
      </c>
      <c r="R118" s="14" t="s">
        <v>26</v>
      </c>
      <c r="S118" s="10"/>
      <c r="T118" s="10"/>
      <c r="U118" s="10"/>
    </row>
    <row r="119" spans="1:22" x14ac:dyDescent="0.45">
      <c r="C119" s="23"/>
      <c r="D119" s="23"/>
      <c r="E119" s="23"/>
      <c r="F119" s="27"/>
      <c r="G119" s="27"/>
      <c r="H119" s="27"/>
      <c r="I119" s="28"/>
      <c r="J119" s="24"/>
      <c r="L119" s="15" t="s">
        <v>23</v>
      </c>
      <c r="M119" s="16" t="s">
        <v>26</v>
      </c>
      <c r="N119" s="10" t="s">
        <v>98</v>
      </c>
      <c r="O119" s="10"/>
      <c r="P119" s="10"/>
      <c r="Q119" s="10"/>
      <c r="R119" s="10"/>
      <c r="S119" s="10"/>
      <c r="T119" s="10"/>
      <c r="U119" s="10"/>
    </row>
    <row r="120" spans="1:22" x14ac:dyDescent="0.45">
      <c r="P120" s="10"/>
    </row>
    <row r="121" spans="1:22" x14ac:dyDescent="0.45">
      <c r="P121" s="10"/>
    </row>
    <row r="122" spans="1:22" x14ac:dyDescent="0.45">
      <c r="A122" t="s">
        <v>57</v>
      </c>
      <c r="B122" s="6" t="s">
        <v>24</v>
      </c>
      <c r="C122" s="23" t="s">
        <v>25</v>
      </c>
      <c r="D122" s="23"/>
      <c r="E122" s="23"/>
      <c r="F122" s="23"/>
      <c r="G122" s="23" t="s">
        <v>26</v>
      </c>
      <c r="H122" s="29" t="s">
        <v>26</v>
      </c>
      <c r="I122" s="25" t="s">
        <v>41</v>
      </c>
      <c r="J122" s="23"/>
      <c r="L122" s="9" t="s">
        <v>0</v>
      </c>
      <c r="M122" s="9" t="s">
        <v>27</v>
      </c>
      <c r="N122" s="9" t="s">
        <v>42</v>
      </c>
      <c r="O122" s="9" t="s">
        <v>29</v>
      </c>
      <c r="P122" s="9" t="s">
        <v>29</v>
      </c>
      <c r="Q122" s="10"/>
      <c r="R122" s="10"/>
      <c r="S122" s="10"/>
      <c r="T122" s="10"/>
      <c r="U122" s="10"/>
    </row>
    <row r="123" spans="1:22" x14ac:dyDescent="0.45">
      <c r="B123">
        <v>14</v>
      </c>
      <c r="C123" s="23"/>
      <c r="D123" s="23"/>
      <c r="E123" s="23"/>
      <c r="F123" s="23"/>
      <c r="G123" s="23"/>
      <c r="H123" s="29"/>
      <c r="I123" s="26"/>
      <c r="J123" s="23"/>
      <c r="L123" s="11" t="s">
        <v>5</v>
      </c>
      <c r="M123" s="11" t="s">
        <v>26</v>
      </c>
      <c r="N123" s="11" t="s">
        <v>26</v>
      </c>
      <c r="O123" s="11" t="s">
        <v>26</v>
      </c>
      <c r="P123" s="11">
        <v>0</v>
      </c>
      <c r="Q123" s="11" t="s">
        <v>26</v>
      </c>
      <c r="R123" s="11" t="s">
        <v>26</v>
      </c>
      <c r="S123" s="11" t="s">
        <v>26</v>
      </c>
      <c r="T123" s="11" t="s">
        <v>26</v>
      </c>
      <c r="U123" s="11" t="s">
        <v>26</v>
      </c>
      <c r="V123" s="11" t="s">
        <v>26</v>
      </c>
    </row>
    <row r="124" spans="1:22" x14ac:dyDescent="0.45">
      <c r="C124" s="23"/>
      <c r="D124" s="23"/>
      <c r="E124" s="23"/>
      <c r="F124" s="23"/>
      <c r="G124" s="23"/>
      <c r="H124" s="29"/>
      <c r="I124" s="26"/>
      <c r="J124" s="23"/>
      <c r="L124" s="12" t="s">
        <v>15</v>
      </c>
      <c r="M124" s="13" t="s">
        <v>43</v>
      </c>
      <c r="N124" s="10"/>
      <c r="O124" s="10"/>
      <c r="P124" s="10"/>
      <c r="Q124" s="10"/>
      <c r="R124" s="10"/>
      <c r="S124" s="10"/>
      <c r="T124" s="10"/>
      <c r="U124" s="10"/>
      <c r="V124" s="10"/>
    </row>
    <row r="125" spans="1:22" x14ac:dyDescent="0.45">
      <c r="C125" s="23"/>
      <c r="D125" s="23"/>
      <c r="E125" s="23"/>
      <c r="F125" s="23"/>
      <c r="G125" s="23"/>
      <c r="H125" s="29"/>
      <c r="I125" s="26"/>
      <c r="J125" s="23"/>
      <c r="L125" s="14" t="s">
        <v>17</v>
      </c>
      <c r="M125" s="14"/>
      <c r="N125" s="14" t="s">
        <v>26</v>
      </c>
      <c r="O125" s="14" t="s">
        <v>26</v>
      </c>
      <c r="P125" s="14"/>
      <c r="Q125" s="21">
        <f>16*(48/4)*B123</f>
        <v>2688</v>
      </c>
      <c r="R125" s="14" t="s">
        <v>26</v>
      </c>
      <c r="S125" s="10"/>
      <c r="T125" s="10"/>
      <c r="U125" s="10"/>
    </row>
    <row r="126" spans="1:22" x14ac:dyDescent="0.45">
      <c r="C126" s="23"/>
      <c r="D126" s="23"/>
      <c r="E126" s="23"/>
      <c r="F126" s="23"/>
      <c r="G126" s="23"/>
      <c r="H126" s="29"/>
      <c r="I126" s="26"/>
      <c r="J126" s="23"/>
      <c r="L126" s="15" t="s">
        <v>23</v>
      </c>
      <c r="M126" s="16" t="s">
        <v>26</v>
      </c>
      <c r="N126" s="10"/>
      <c r="O126" s="10"/>
      <c r="P126" s="10"/>
      <c r="Q126" s="10" t="s">
        <v>85</v>
      </c>
      <c r="R126" s="10"/>
      <c r="S126" s="10"/>
      <c r="T126" s="10"/>
      <c r="U126" s="10"/>
    </row>
    <row r="127" spans="1:22" x14ac:dyDescent="0.45">
      <c r="B127" s="6" t="s">
        <v>24</v>
      </c>
      <c r="C127" s="23" t="s">
        <v>44</v>
      </c>
      <c r="D127" s="23"/>
      <c r="E127" s="23"/>
      <c r="F127" s="29" t="s">
        <v>26</v>
      </c>
      <c r="G127" s="23" t="s">
        <v>26</v>
      </c>
      <c r="H127" s="23" t="s">
        <v>26</v>
      </c>
      <c r="I127" s="27" t="s">
        <v>34</v>
      </c>
      <c r="J127" s="28" t="s">
        <v>26</v>
      </c>
      <c r="L127" s="9" t="s">
        <v>0</v>
      </c>
      <c r="M127" s="9" t="s">
        <v>35</v>
      </c>
      <c r="N127" s="9" t="s">
        <v>28</v>
      </c>
      <c r="O127" s="9" t="s">
        <v>29</v>
      </c>
      <c r="P127" s="9" t="s">
        <v>29</v>
      </c>
      <c r="Q127" s="10"/>
      <c r="R127" s="10"/>
      <c r="S127" s="10"/>
      <c r="T127" s="10"/>
      <c r="U127" s="10"/>
    </row>
    <row r="128" spans="1:22" x14ac:dyDescent="0.45">
      <c r="B128">
        <v>15</v>
      </c>
      <c r="C128" s="23"/>
      <c r="D128" s="23"/>
      <c r="E128" s="23"/>
      <c r="F128" s="29"/>
      <c r="G128" s="23"/>
      <c r="H128" s="23"/>
      <c r="I128" s="27"/>
      <c r="J128" s="28"/>
      <c r="L128" s="11" t="s">
        <v>5</v>
      </c>
      <c r="M128" s="11" t="s">
        <v>45</v>
      </c>
      <c r="N128" s="11" t="s">
        <v>31</v>
      </c>
      <c r="O128" s="11" t="s">
        <v>31</v>
      </c>
      <c r="P128" s="11">
        <v>0</v>
      </c>
      <c r="Q128" s="11" t="s">
        <v>88</v>
      </c>
      <c r="R128" s="11" t="s">
        <v>37</v>
      </c>
      <c r="S128" s="11" t="s">
        <v>65</v>
      </c>
      <c r="T128" s="11" t="s">
        <v>65</v>
      </c>
      <c r="U128" s="11" t="s">
        <v>67</v>
      </c>
      <c r="V128" s="11" t="s">
        <v>31</v>
      </c>
    </row>
    <row r="129" spans="2:22" x14ac:dyDescent="0.45">
      <c r="C129" s="23"/>
      <c r="D129" s="23"/>
      <c r="E129" s="23"/>
      <c r="F129" s="29"/>
      <c r="G129" s="23"/>
      <c r="H129" s="23"/>
      <c r="I129" s="27"/>
      <c r="J129" s="28"/>
      <c r="L129" s="12" t="s">
        <v>15</v>
      </c>
      <c r="M129" s="13" t="s">
        <v>46</v>
      </c>
      <c r="N129" s="10"/>
      <c r="O129" s="10"/>
      <c r="P129" s="10"/>
      <c r="Q129" s="10"/>
      <c r="R129" s="10"/>
      <c r="S129" s="10" t="s">
        <v>68</v>
      </c>
      <c r="T129" s="10" t="s">
        <v>68</v>
      </c>
      <c r="U129" s="10" t="s">
        <v>66</v>
      </c>
      <c r="V129" s="10" t="s">
        <v>89</v>
      </c>
    </row>
    <row r="130" spans="2:22" x14ac:dyDescent="0.45">
      <c r="C130" s="23"/>
      <c r="D130" s="23"/>
      <c r="E130" s="23"/>
      <c r="F130" s="29"/>
      <c r="G130" s="23"/>
      <c r="H130" s="23"/>
      <c r="I130" s="27"/>
      <c r="J130" s="28"/>
      <c r="L130" s="14" t="s">
        <v>17</v>
      </c>
      <c r="M130" s="14"/>
      <c r="N130" s="14" t="s">
        <v>26</v>
      </c>
      <c r="O130" s="14" t="s">
        <v>26</v>
      </c>
      <c r="P130" s="14"/>
      <c r="Q130" s="21">
        <f>16*(48/4)*B128</f>
        <v>2880</v>
      </c>
      <c r="R130" s="14" t="s">
        <v>26</v>
      </c>
      <c r="S130" s="10"/>
      <c r="T130" s="10"/>
      <c r="U130" s="10"/>
    </row>
    <row r="131" spans="2:22" x14ac:dyDescent="0.45">
      <c r="C131" s="23"/>
      <c r="D131" s="23"/>
      <c r="E131" s="23"/>
      <c r="F131" s="29"/>
      <c r="G131" s="23"/>
      <c r="H131" s="23"/>
      <c r="I131" s="27"/>
      <c r="J131" s="28"/>
      <c r="L131" s="15" t="s">
        <v>23</v>
      </c>
      <c r="M131" s="16" t="s">
        <v>26</v>
      </c>
      <c r="N131" s="10"/>
      <c r="O131" s="10"/>
      <c r="P131" s="10"/>
      <c r="Q131" s="10" t="s">
        <v>86</v>
      </c>
      <c r="R131" s="10"/>
      <c r="S131" s="10"/>
      <c r="T131" s="10"/>
      <c r="U131" s="10"/>
    </row>
    <row r="132" spans="2:22" x14ac:dyDescent="0.45">
      <c r="B132" s="6" t="s">
        <v>70</v>
      </c>
      <c r="C132" s="23" t="s">
        <v>33</v>
      </c>
      <c r="D132" s="23"/>
      <c r="E132" s="23"/>
      <c r="F132" s="27" t="s">
        <v>34</v>
      </c>
      <c r="G132" s="27" t="s">
        <v>34</v>
      </c>
      <c r="H132" s="27" t="s">
        <v>34</v>
      </c>
      <c r="I132" s="28" t="s">
        <v>26</v>
      </c>
      <c r="J132" s="24" t="s">
        <v>34</v>
      </c>
      <c r="L132" s="9" t="s">
        <v>0</v>
      </c>
      <c r="M132" s="9" t="s">
        <v>35</v>
      </c>
      <c r="N132" s="9" t="s">
        <v>48</v>
      </c>
      <c r="O132" s="9" t="s">
        <v>29</v>
      </c>
      <c r="P132" s="9" t="s">
        <v>29</v>
      </c>
      <c r="Q132" s="10"/>
      <c r="R132" s="10"/>
      <c r="S132" s="10"/>
      <c r="T132" s="10"/>
      <c r="U132" s="10"/>
    </row>
    <row r="133" spans="2:22" x14ac:dyDescent="0.45">
      <c r="B133">
        <v>6</v>
      </c>
      <c r="C133" s="23"/>
      <c r="D133" s="23"/>
      <c r="E133" s="23"/>
      <c r="F133" s="27"/>
      <c r="G133" s="27"/>
      <c r="H133" s="27"/>
      <c r="I133" s="28"/>
      <c r="J133" s="24"/>
      <c r="L133" s="11" t="s">
        <v>5</v>
      </c>
      <c r="M133" s="11" t="s">
        <v>37</v>
      </c>
      <c r="N133" s="11" t="s">
        <v>37</v>
      </c>
      <c r="O133" s="11" t="s">
        <v>29</v>
      </c>
      <c r="P133" s="11">
        <v>1</v>
      </c>
      <c r="Q133" s="11" t="s">
        <v>29</v>
      </c>
      <c r="R133" s="11" t="s">
        <v>29</v>
      </c>
      <c r="S133" s="11" t="s">
        <v>38</v>
      </c>
      <c r="T133" s="11" t="s">
        <v>65</v>
      </c>
      <c r="U133" s="11" t="s">
        <v>31</v>
      </c>
      <c r="V133" s="11" t="s">
        <v>31</v>
      </c>
    </row>
    <row r="134" spans="2:22" x14ac:dyDescent="0.45">
      <c r="C134" s="23"/>
      <c r="D134" s="23"/>
      <c r="E134" s="23"/>
      <c r="F134" s="27"/>
      <c r="G134" s="27"/>
      <c r="H134" s="27"/>
      <c r="I134" s="28"/>
      <c r="J134" s="24"/>
      <c r="L134" s="12" t="s">
        <v>15</v>
      </c>
      <c r="M134" s="13" t="s">
        <v>49</v>
      </c>
      <c r="N134" s="10"/>
      <c r="O134" s="10"/>
      <c r="P134" s="10"/>
      <c r="Q134" s="10"/>
      <c r="R134" s="10"/>
      <c r="S134" s="10" t="s">
        <v>47</v>
      </c>
      <c r="T134" s="10" t="s">
        <v>64</v>
      </c>
      <c r="U134" s="10" t="s">
        <v>89</v>
      </c>
      <c r="V134" s="10" t="s">
        <v>89</v>
      </c>
    </row>
    <row r="135" spans="2:22" x14ac:dyDescent="0.45">
      <c r="C135" s="23"/>
      <c r="D135" s="23"/>
      <c r="E135" s="23"/>
      <c r="F135" s="27"/>
      <c r="G135" s="27"/>
      <c r="H135" s="27"/>
      <c r="I135" s="28"/>
      <c r="J135" s="24"/>
      <c r="L135" s="14" t="s">
        <v>17</v>
      </c>
      <c r="M135" s="14"/>
      <c r="N135" s="21">
        <f>8*(96/4)*B133</f>
        <v>1152</v>
      </c>
      <c r="O135" s="14" t="s">
        <v>26</v>
      </c>
      <c r="P135" s="14"/>
      <c r="Q135" s="14" t="s">
        <v>26</v>
      </c>
      <c r="R135" s="14" t="s">
        <v>26</v>
      </c>
      <c r="S135" s="10"/>
      <c r="T135" s="10"/>
      <c r="U135" s="10"/>
    </row>
    <row r="136" spans="2:22" x14ac:dyDescent="0.45">
      <c r="C136" s="23"/>
      <c r="D136" s="23"/>
      <c r="E136" s="23"/>
      <c r="F136" s="27"/>
      <c r="G136" s="27"/>
      <c r="H136" s="27"/>
      <c r="I136" s="28"/>
      <c r="J136" s="24"/>
      <c r="L136" s="15" t="s">
        <v>23</v>
      </c>
      <c r="M136" s="16" t="s">
        <v>26</v>
      </c>
      <c r="N136" s="10" t="s">
        <v>99</v>
      </c>
      <c r="O136" s="10"/>
      <c r="P136" s="10"/>
      <c r="Q136" s="10"/>
      <c r="R136" s="10"/>
      <c r="S136" s="10"/>
      <c r="T136" s="10"/>
      <c r="U136" s="10"/>
    </row>
    <row r="137" spans="2:22" x14ac:dyDescent="0.45">
      <c r="P137" s="10"/>
    </row>
    <row r="138" spans="2:22" x14ac:dyDescent="0.45">
      <c r="P138" s="10"/>
    </row>
    <row r="139" spans="2:22" x14ac:dyDescent="0.45">
      <c r="P139" s="10"/>
    </row>
    <row r="140" spans="2:22" x14ac:dyDescent="0.45">
      <c r="C140" s="23" t="s">
        <v>58</v>
      </c>
      <c r="D140" s="23"/>
      <c r="E140" s="23"/>
      <c r="F140" s="23"/>
      <c r="G140" s="23"/>
      <c r="H140" s="23"/>
      <c r="I140" s="25" t="s">
        <v>41</v>
      </c>
      <c r="J140" s="23"/>
      <c r="L140" s="9" t="s">
        <v>0</v>
      </c>
      <c r="M140" s="9" t="s">
        <v>27</v>
      </c>
      <c r="N140" s="9" t="s">
        <v>59</v>
      </c>
      <c r="O140" s="9" t="s">
        <v>69</v>
      </c>
      <c r="P140" s="9" t="s">
        <v>29</v>
      </c>
      <c r="Q140" s="10"/>
      <c r="R140" s="10"/>
      <c r="S140" s="10"/>
      <c r="T140" s="10"/>
      <c r="U140" s="10"/>
    </row>
    <row r="141" spans="2:22" x14ac:dyDescent="0.45">
      <c r="C141" s="23"/>
      <c r="D141" s="23"/>
      <c r="E141" s="23"/>
      <c r="F141" s="23"/>
      <c r="G141" s="23"/>
      <c r="H141" s="23"/>
      <c r="I141" s="26"/>
      <c r="J141" s="23"/>
      <c r="L141" s="11" t="s">
        <v>5</v>
      </c>
      <c r="M141" s="11" t="s">
        <v>26</v>
      </c>
      <c r="N141" s="11" t="s">
        <v>26</v>
      </c>
      <c r="O141" s="11" t="s">
        <v>26</v>
      </c>
      <c r="P141" s="11">
        <v>0</v>
      </c>
      <c r="Q141" s="11" t="s">
        <v>26</v>
      </c>
      <c r="R141" s="11" t="s">
        <v>26</v>
      </c>
      <c r="S141" s="11" t="s">
        <v>26</v>
      </c>
      <c r="T141" s="11" t="s">
        <v>26</v>
      </c>
      <c r="U141" s="11" t="s">
        <v>26</v>
      </c>
      <c r="V141" s="11" t="s">
        <v>26</v>
      </c>
    </row>
    <row r="142" spans="2:22" x14ac:dyDescent="0.45">
      <c r="C142" s="23"/>
      <c r="D142" s="23"/>
      <c r="E142" s="23"/>
      <c r="F142" s="23"/>
      <c r="G142" s="23"/>
      <c r="H142" s="23"/>
      <c r="I142" s="26"/>
      <c r="J142" s="23"/>
      <c r="L142" s="12" t="s">
        <v>15</v>
      </c>
      <c r="M142" s="13" t="s">
        <v>60</v>
      </c>
      <c r="N142" s="10"/>
      <c r="O142" s="10"/>
      <c r="P142" s="10"/>
      <c r="Q142" s="10"/>
      <c r="R142" s="10"/>
      <c r="S142" s="10"/>
      <c r="T142" s="10"/>
      <c r="U142" s="10"/>
      <c r="V142" s="10"/>
    </row>
    <row r="143" spans="2:22" x14ac:dyDescent="0.45">
      <c r="C143" s="23"/>
      <c r="D143" s="23"/>
      <c r="E143" s="23"/>
      <c r="F143" s="23"/>
      <c r="G143" s="23"/>
      <c r="H143" s="23"/>
      <c r="I143" s="26"/>
      <c r="J143" s="23"/>
      <c r="L143" s="14" t="s">
        <v>17</v>
      </c>
      <c r="M143" s="14"/>
      <c r="N143" s="14" t="s">
        <v>26</v>
      </c>
      <c r="O143" s="14" t="s">
        <v>26</v>
      </c>
      <c r="P143" s="14"/>
      <c r="Q143" s="14" t="s">
        <v>26</v>
      </c>
      <c r="R143" s="14" t="s">
        <v>26</v>
      </c>
      <c r="S143" s="10"/>
      <c r="T143" s="10"/>
      <c r="U143" s="10"/>
    </row>
    <row r="144" spans="2:22" x14ac:dyDescent="0.45">
      <c r="C144" s="23"/>
      <c r="D144" s="23"/>
      <c r="E144" s="23"/>
      <c r="F144" s="23"/>
      <c r="G144" s="23"/>
      <c r="H144" s="23"/>
      <c r="I144" s="26"/>
      <c r="J144" s="23"/>
      <c r="L144" s="15" t="s">
        <v>23</v>
      </c>
      <c r="M144" s="16" t="s">
        <v>26</v>
      </c>
      <c r="N144" s="10"/>
      <c r="O144" s="10"/>
      <c r="P144" s="10"/>
      <c r="Q144" s="10"/>
      <c r="R144" s="10"/>
      <c r="S144" s="10"/>
      <c r="T144" s="10"/>
      <c r="U144" s="10"/>
    </row>
    <row r="145" spans="2:22" x14ac:dyDescent="0.45">
      <c r="C145" s="23" t="s">
        <v>44</v>
      </c>
      <c r="D145" s="23"/>
      <c r="E145" s="23"/>
      <c r="F145" s="23"/>
      <c r="G145" s="23"/>
      <c r="H145" s="23"/>
      <c r="I145" s="27" t="s">
        <v>34</v>
      </c>
      <c r="J145" s="28" t="s">
        <v>26</v>
      </c>
      <c r="L145" s="9" t="s">
        <v>0</v>
      </c>
      <c r="M145" s="9" t="s">
        <v>35</v>
      </c>
      <c r="N145" s="9" t="s">
        <v>36</v>
      </c>
      <c r="O145" s="9" t="s">
        <v>101</v>
      </c>
      <c r="P145" s="9" t="s">
        <v>29</v>
      </c>
      <c r="Q145" s="10"/>
      <c r="R145" s="10"/>
      <c r="S145" s="10"/>
      <c r="T145" s="10"/>
      <c r="U145" s="10"/>
    </row>
    <row r="146" spans="2:22" x14ac:dyDescent="0.45">
      <c r="C146" s="23"/>
      <c r="D146" s="23"/>
      <c r="E146" s="23"/>
      <c r="F146" s="23"/>
      <c r="G146" s="23"/>
      <c r="H146" s="23"/>
      <c r="I146" s="27"/>
      <c r="J146" s="28"/>
      <c r="L146" s="11" t="s">
        <v>5</v>
      </c>
      <c r="M146" s="11" t="s">
        <v>45</v>
      </c>
      <c r="N146" s="11" t="s">
        <v>31</v>
      </c>
      <c r="O146" s="11" t="s">
        <v>31</v>
      </c>
      <c r="P146" s="11">
        <v>0</v>
      </c>
      <c r="Q146" s="11" t="s">
        <v>88</v>
      </c>
      <c r="R146" s="11" t="s">
        <v>37</v>
      </c>
      <c r="S146" s="11" t="s">
        <v>65</v>
      </c>
      <c r="T146" s="11" t="s">
        <v>65</v>
      </c>
      <c r="U146" s="11" t="s">
        <v>67</v>
      </c>
      <c r="V146" s="11" t="s">
        <v>31</v>
      </c>
    </row>
    <row r="147" spans="2:22" x14ac:dyDescent="0.45">
      <c r="C147" s="23"/>
      <c r="D147" s="23"/>
      <c r="E147" s="23"/>
      <c r="F147" s="23"/>
      <c r="G147" s="23"/>
      <c r="H147" s="23"/>
      <c r="I147" s="27"/>
      <c r="J147" s="28"/>
      <c r="L147" s="12" t="s">
        <v>15</v>
      </c>
      <c r="M147" s="13" t="s">
        <v>61</v>
      </c>
      <c r="N147" s="10"/>
      <c r="O147" s="10"/>
      <c r="P147" s="10"/>
      <c r="Q147" s="10"/>
      <c r="R147" s="10"/>
      <c r="S147" s="10" t="s">
        <v>68</v>
      </c>
      <c r="T147" s="10" t="s">
        <v>68</v>
      </c>
      <c r="U147" s="10" t="s">
        <v>66</v>
      </c>
      <c r="V147" s="10" t="s">
        <v>89</v>
      </c>
    </row>
    <row r="148" spans="2:22" x14ac:dyDescent="0.45">
      <c r="C148" s="23"/>
      <c r="D148" s="23"/>
      <c r="E148" s="23"/>
      <c r="F148" s="23"/>
      <c r="G148" s="23"/>
      <c r="H148" s="23"/>
      <c r="I148" s="27"/>
      <c r="J148" s="28"/>
      <c r="L148" s="14" t="s">
        <v>17</v>
      </c>
      <c r="M148" s="14"/>
      <c r="N148" s="14" t="s">
        <v>26</v>
      </c>
      <c r="O148" s="14" t="s">
        <v>26</v>
      </c>
      <c r="P148" s="14"/>
      <c r="Q148" s="14" t="s">
        <v>26</v>
      </c>
      <c r="R148" s="14" t="s">
        <v>26</v>
      </c>
      <c r="S148" s="10"/>
      <c r="T148" s="10"/>
      <c r="U148" s="10"/>
    </row>
    <row r="149" spans="2:22" x14ac:dyDescent="0.45">
      <c r="C149" s="23"/>
      <c r="D149" s="23"/>
      <c r="E149" s="23"/>
      <c r="F149" s="23"/>
      <c r="G149" s="23"/>
      <c r="H149" s="23"/>
      <c r="I149" s="27"/>
      <c r="J149" s="28"/>
      <c r="L149" s="15" t="s">
        <v>23</v>
      </c>
      <c r="M149" s="16" t="s">
        <v>26</v>
      </c>
      <c r="N149" s="10"/>
      <c r="O149" s="10"/>
      <c r="P149" s="10"/>
      <c r="Q149" s="10"/>
      <c r="R149" s="10"/>
      <c r="S149" s="10"/>
      <c r="T149" s="10"/>
      <c r="U149" s="10"/>
    </row>
    <row r="150" spans="2:22" x14ac:dyDescent="0.45">
      <c r="B150" s="6" t="s">
        <v>70</v>
      </c>
      <c r="C150" s="23" t="s">
        <v>62</v>
      </c>
      <c r="D150" s="23"/>
      <c r="E150" s="23"/>
      <c r="F150" s="23"/>
      <c r="G150" s="23"/>
      <c r="H150" s="23"/>
      <c r="I150" s="23"/>
      <c r="J150" s="24" t="s">
        <v>34</v>
      </c>
      <c r="L150" s="9" t="s">
        <v>0</v>
      </c>
      <c r="M150" s="9" t="s">
        <v>27</v>
      </c>
      <c r="N150" s="9" t="s">
        <v>48</v>
      </c>
      <c r="O150" s="9" t="s">
        <v>69</v>
      </c>
      <c r="P150" s="9" t="s">
        <v>29</v>
      </c>
      <c r="Q150" s="10"/>
      <c r="R150" s="10"/>
      <c r="S150" s="10"/>
      <c r="T150" s="10"/>
      <c r="U150" s="10"/>
    </row>
    <row r="151" spans="2:22" x14ac:dyDescent="0.45">
      <c r="B151">
        <v>7</v>
      </c>
      <c r="C151" s="23"/>
      <c r="D151" s="23"/>
      <c r="E151" s="23"/>
      <c r="F151" s="23"/>
      <c r="G151" s="23"/>
      <c r="H151" s="23"/>
      <c r="I151" s="23"/>
      <c r="J151" s="24"/>
      <c r="L151" s="11" t="s">
        <v>5</v>
      </c>
      <c r="M151" s="11" t="s">
        <v>26</v>
      </c>
      <c r="N151" s="11" t="s">
        <v>26</v>
      </c>
      <c r="O151" s="11" t="s">
        <v>26</v>
      </c>
      <c r="P151" s="11" t="s">
        <v>91</v>
      </c>
      <c r="Q151" s="11" t="s">
        <v>26</v>
      </c>
      <c r="R151" s="11" t="s">
        <v>26</v>
      </c>
      <c r="S151" s="11" t="s">
        <v>26</v>
      </c>
      <c r="T151" s="11" t="s">
        <v>26</v>
      </c>
      <c r="U151" s="11" t="s">
        <v>26</v>
      </c>
      <c r="V151" s="11" t="s">
        <v>26</v>
      </c>
    </row>
    <row r="152" spans="2:22" x14ac:dyDescent="0.45">
      <c r="C152" s="23"/>
      <c r="D152" s="23"/>
      <c r="E152" s="23"/>
      <c r="F152" s="23"/>
      <c r="G152" s="23"/>
      <c r="H152" s="23"/>
      <c r="I152" s="23"/>
      <c r="J152" s="24"/>
      <c r="L152" s="12" t="s">
        <v>15</v>
      </c>
      <c r="M152" s="13" t="s">
        <v>63</v>
      </c>
      <c r="N152" s="10"/>
      <c r="O152" s="10"/>
      <c r="P152" s="10"/>
      <c r="Q152" s="10"/>
      <c r="R152" s="10"/>
      <c r="S152" s="10"/>
      <c r="T152" s="10"/>
      <c r="U152" s="10"/>
      <c r="V152" s="10"/>
    </row>
    <row r="153" spans="2:22" x14ac:dyDescent="0.45">
      <c r="C153" s="23"/>
      <c r="D153" s="23"/>
      <c r="E153" s="23"/>
      <c r="F153" s="23"/>
      <c r="G153" s="23"/>
      <c r="H153" s="23"/>
      <c r="I153" s="23"/>
      <c r="J153" s="24"/>
      <c r="L153" s="14" t="s">
        <v>17</v>
      </c>
      <c r="M153" s="14"/>
      <c r="N153" s="21">
        <f>8*(96/4)*B151</f>
        <v>1344</v>
      </c>
      <c r="O153" s="14" t="s">
        <v>26</v>
      </c>
      <c r="P153" s="14"/>
      <c r="Q153" s="14" t="s">
        <v>26</v>
      </c>
      <c r="R153" s="14" t="s">
        <v>26</v>
      </c>
      <c r="S153" s="10"/>
      <c r="T153" s="10"/>
      <c r="U153" s="10"/>
    </row>
    <row r="154" spans="2:22" x14ac:dyDescent="0.45">
      <c r="C154" s="23"/>
      <c r="D154" s="23"/>
      <c r="E154" s="23"/>
      <c r="F154" s="23"/>
      <c r="G154" s="23"/>
      <c r="H154" s="23"/>
      <c r="I154" s="23"/>
      <c r="J154" s="24"/>
      <c r="L154" s="15" t="s">
        <v>23</v>
      </c>
      <c r="M154" s="16" t="s">
        <v>26</v>
      </c>
      <c r="N154" s="10" t="s">
        <v>100</v>
      </c>
      <c r="O154" s="10"/>
      <c r="P154" s="10"/>
      <c r="Q154" s="10"/>
      <c r="R154" s="10"/>
      <c r="S154" s="10"/>
      <c r="T154" s="10"/>
      <c r="U154" s="10"/>
    </row>
  </sheetData>
  <mergeCells count="216">
    <mergeCell ref="I7:I11"/>
    <mergeCell ref="J7:J11"/>
    <mergeCell ref="C12:C16"/>
    <mergeCell ref="D12:D16"/>
    <mergeCell ref="E12:E16"/>
    <mergeCell ref="F12:F16"/>
    <mergeCell ref="G12:G16"/>
    <mergeCell ref="H12:H16"/>
    <mergeCell ref="I12:I16"/>
    <mergeCell ref="J12:J16"/>
    <mergeCell ref="C7:C11"/>
    <mergeCell ref="D7:D11"/>
    <mergeCell ref="E7:E11"/>
    <mergeCell ref="F7:F11"/>
    <mergeCell ref="G7:G11"/>
    <mergeCell ref="H7:H11"/>
    <mergeCell ref="I17:I21"/>
    <mergeCell ref="J17:J21"/>
    <mergeCell ref="C24:C28"/>
    <mergeCell ref="D24:D28"/>
    <mergeCell ref="E24:E28"/>
    <mergeCell ref="F24:F28"/>
    <mergeCell ref="G24:G28"/>
    <mergeCell ref="H24:H28"/>
    <mergeCell ref="I24:I28"/>
    <mergeCell ref="J24:J28"/>
    <mergeCell ref="C17:C21"/>
    <mergeCell ref="D17:D21"/>
    <mergeCell ref="E17:E21"/>
    <mergeCell ref="F17:F21"/>
    <mergeCell ref="G17:G21"/>
    <mergeCell ref="H17:H21"/>
    <mergeCell ref="I29:I33"/>
    <mergeCell ref="J29:J33"/>
    <mergeCell ref="C34:C38"/>
    <mergeCell ref="D34:D38"/>
    <mergeCell ref="E34:E38"/>
    <mergeCell ref="F34:F38"/>
    <mergeCell ref="G34:G38"/>
    <mergeCell ref="H34:H38"/>
    <mergeCell ref="I34:I38"/>
    <mergeCell ref="J34:J38"/>
    <mergeCell ref="C29:C33"/>
    <mergeCell ref="D29:D33"/>
    <mergeCell ref="E29:E33"/>
    <mergeCell ref="F29:F33"/>
    <mergeCell ref="G29:G33"/>
    <mergeCell ref="H29:H33"/>
    <mergeCell ref="I40:I44"/>
    <mergeCell ref="J40:J44"/>
    <mergeCell ref="C45:C49"/>
    <mergeCell ref="D45:D49"/>
    <mergeCell ref="E45:E49"/>
    <mergeCell ref="F45:F49"/>
    <mergeCell ref="G45:G49"/>
    <mergeCell ref="H45:H49"/>
    <mergeCell ref="I45:I49"/>
    <mergeCell ref="J45:J49"/>
    <mergeCell ref="C40:C44"/>
    <mergeCell ref="D40:D44"/>
    <mergeCell ref="E40:E44"/>
    <mergeCell ref="F40:F44"/>
    <mergeCell ref="G40:G44"/>
    <mergeCell ref="H40:H44"/>
    <mergeCell ref="I50:I54"/>
    <mergeCell ref="J50:J54"/>
    <mergeCell ref="C56:C60"/>
    <mergeCell ref="D56:D60"/>
    <mergeCell ref="E56:E60"/>
    <mergeCell ref="F56:F60"/>
    <mergeCell ref="G56:G60"/>
    <mergeCell ref="H56:H60"/>
    <mergeCell ref="I56:I60"/>
    <mergeCell ref="J56:J60"/>
    <mergeCell ref="C50:C54"/>
    <mergeCell ref="D50:D54"/>
    <mergeCell ref="E50:E54"/>
    <mergeCell ref="F50:F54"/>
    <mergeCell ref="G50:G54"/>
    <mergeCell ref="H50:H54"/>
    <mergeCell ref="I61:I65"/>
    <mergeCell ref="J61:J65"/>
    <mergeCell ref="C66:C70"/>
    <mergeCell ref="D66:D70"/>
    <mergeCell ref="E66:E70"/>
    <mergeCell ref="F66:F70"/>
    <mergeCell ref="G66:G70"/>
    <mergeCell ref="H66:H70"/>
    <mergeCell ref="I66:I70"/>
    <mergeCell ref="J66:J70"/>
    <mergeCell ref="C61:C65"/>
    <mergeCell ref="D61:D65"/>
    <mergeCell ref="E61:E65"/>
    <mergeCell ref="F61:F65"/>
    <mergeCell ref="G61:G65"/>
    <mergeCell ref="H61:H65"/>
    <mergeCell ref="I73:I77"/>
    <mergeCell ref="J73:J77"/>
    <mergeCell ref="C78:C82"/>
    <mergeCell ref="D78:D82"/>
    <mergeCell ref="E78:E82"/>
    <mergeCell ref="F78:F82"/>
    <mergeCell ref="G78:G82"/>
    <mergeCell ref="H78:H82"/>
    <mergeCell ref="I78:I82"/>
    <mergeCell ref="J78:J82"/>
    <mergeCell ref="C73:C77"/>
    <mergeCell ref="D73:D77"/>
    <mergeCell ref="E73:E77"/>
    <mergeCell ref="F73:F77"/>
    <mergeCell ref="G73:G77"/>
    <mergeCell ref="H73:H77"/>
    <mergeCell ref="I83:I87"/>
    <mergeCell ref="J83:J87"/>
    <mergeCell ref="C89:C93"/>
    <mergeCell ref="D89:D93"/>
    <mergeCell ref="E89:E93"/>
    <mergeCell ref="F89:F93"/>
    <mergeCell ref="G89:G93"/>
    <mergeCell ref="H89:H93"/>
    <mergeCell ref="I89:I93"/>
    <mergeCell ref="J89:J93"/>
    <mergeCell ref="C83:C87"/>
    <mergeCell ref="D83:D87"/>
    <mergeCell ref="E83:E87"/>
    <mergeCell ref="F83:F87"/>
    <mergeCell ref="G83:G87"/>
    <mergeCell ref="H83:H87"/>
    <mergeCell ref="I94:I98"/>
    <mergeCell ref="J94:J98"/>
    <mergeCell ref="C99:C103"/>
    <mergeCell ref="D99:D103"/>
    <mergeCell ref="E99:E103"/>
    <mergeCell ref="F99:F103"/>
    <mergeCell ref="G99:G103"/>
    <mergeCell ref="H99:H103"/>
    <mergeCell ref="I99:I103"/>
    <mergeCell ref="J99:J103"/>
    <mergeCell ref="C94:C98"/>
    <mergeCell ref="D94:D98"/>
    <mergeCell ref="E94:E98"/>
    <mergeCell ref="F94:F98"/>
    <mergeCell ref="G94:G98"/>
    <mergeCell ref="H94:H98"/>
    <mergeCell ref="I105:I109"/>
    <mergeCell ref="J105:J109"/>
    <mergeCell ref="C110:C114"/>
    <mergeCell ref="D110:D114"/>
    <mergeCell ref="E110:E114"/>
    <mergeCell ref="F110:F114"/>
    <mergeCell ref="G110:G114"/>
    <mergeCell ref="H110:H114"/>
    <mergeCell ref="I110:I114"/>
    <mergeCell ref="J110:J114"/>
    <mergeCell ref="C105:C109"/>
    <mergeCell ref="D105:D109"/>
    <mergeCell ref="E105:E109"/>
    <mergeCell ref="F105:F109"/>
    <mergeCell ref="G105:G109"/>
    <mergeCell ref="H105:H109"/>
    <mergeCell ref="I115:I119"/>
    <mergeCell ref="J115:J119"/>
    <mergeCell ref="C122:C126"/>
    <mergeCell ref="D122:D126"/>
    <mergeCell ref="E122:E126"/>
    <mergeCell ref="F122:F126"/>
    <mergeCell ref="G122:G126"/>
    <mergeCell ref="H122:H126"/>
    <mergeCell ref="I122:I126"/>
    <mergeCell ref="J122:J126"/>
    <mergeCell ref="C115:C119"/>
    <mergeCell ref="D115:D119"/>
    <mergeCell ref="E115:E119"/>
    <mergeCell ref="F115:F119"/>
    <mergeCell ref="G115:G119"/>
    <mergeCell ref="H115:H119"/>
    <mergeCell ref="I127:I131"/>
    <mergeCell ref="J127:J131"/>
    <mergeCell ref="C132:C136"/>
    <mergeCell ref="D132:D136"/>
    <mergeCell ref="E132:E136"/>
    <mergeCell ref="F132:F136"/>
    <mergeCell ref="G132:G136"/>
    <mergeCell ref="H132:H136"/>
    <mergeCell ref="I132:I136"/>
    <mergeCell ref="J132:J136"/>
    <mergeCell ref="C127:C131"/>
    <mergeCell ref="D127:D131"/>
    <mergeCell ref="E127:E131"/>
    <mergeCell ref="F127:F131"/>
    <mergeCell ref="G127:G131"/>
    <mergeCell ref="H127:H131"/>
    <mergeCell ref="I150:I154"/>
    <mergeCell ref="J150:J154"/>
    <mergeCell ref="C150:C154"/>
    <mergeCell ref="D150:D154"/>
    <mergeCell ref="E150:E154"/>
    <mergeCell ref="F150:F154"/>
    <mergeCell ref="G150:G154"/>
    <mergeCell ref="H150:H154"/>
    <mergeCell ref="I140:I144"/>
    <mergeCell ref="J140:J144"/>
    <mergeCell ref="C145:C149"/>
    <mergeCell ref="D145:D149"/>
    <mergeCell ref="E145:E149"/>
    <mergeCell ref="F145:F149"/>
    <mergeCell ref="G145:G149"/>
    <mergeCell ref="H145:H149"/>
    <mergeCell ref="I145:I149"/>
    <mergeCell ref="J145:J149"/>
    <mergeCell ref="C140:C144"/>
    <mergeCell ref="D140:D144"/>
    <mergeCell ref="E140:E144"/>
    <mergeCell ref="F140:F144"/>
    <mergeCell ref="G140:G144"/>
    <mergeCell ref="H140:H144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冠羲 陳</dc:creator>
  <cp:lastModifiedBy>冠羲 陳</cp:lastModifiedBy>
  <dcterms:created xsi:type="dcterms:W3CDTF">2026-02-14T16:12:43Z</dcterms:created>
  <dcterms:modified xsi:type="dcterms:W3CDTF">2026-03-22T11:56:58Z</dcterms:modified>
</cp:coreProperties>
</file>