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goa\NCU\專題\專題內容\組譯器\WeightBiasRearranger\V7\data_instructions\Top_IS\"/>
    </mc:Choice>
  </mc:AlternateContent>
  <xr:revisionPtr revIDLastSave="0" documentId="13_ncr:1_{FD094287-7FBE-4354-9FC7-CA06D0EFBE40}" xr6:coauthVersionLast="47" xr6:coauthVersionMax="47" xr10:uidLastSave="{00000000-0000-0000-0000-000000000000}"/>
  <bookViews>
    <workbookView xWindow="-83" yWindow="0" windowWidth="10965" windowHeight="12863" xr2:uid="{8AE8F9A1-1A4D-4468-9619-60FE569382F1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" i="1" l="1"/>
  <c r="B6" i="1"/>
  <c r="B3" i="1" l="1"/>
  <c r="B4" i="1" s="1"/>
  <c r="B7" i="1" s="1"/>
  <c r="B8" i="1" s="1"/>
  <c r="B9" i="1" s="1"/>
  <c r="B10" i="1" s="1"/>
  <c r="F19" i="1" l="1"/>
  <c r="F26" i="1" s="1"/>
  <c r="F31" i="1" s="1"/>
  <c r="F35" i="1" s="1"/>
  <c r="B11" i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</calcChain>
</file>

<file path=xl/sharedStrings.xml><?xml version="1.0" encoding="utf-8"?>
<sst xmlns="http://schemas.openxmlformats.org/spreadsheetml/2006/main" count="91" uniqueCount="40">
  <si>
    <t>function</t>
    <phoneticPr fontId="1" type="noConversion"/>
  </si>
  <si>
    <t>Opcode</t>
    <phoneticPr fontId="1" type="noConversion"/>
  </si>
  <si>
    <t>num1</t>
    <phoneticPr fontId="1" type="noConversion"/>
  </si>
  <si>
    <t>num2</t>
    <phoneticPr fontId="1" type="noConversion"/>
  </si>
  <si>
    <t>No</t>
    <phoneticPr fontId="1" type="noConversion"/>
  </si>
  <si>
    <t>get weight</t>
    <phoneticPr fontId="1" type="noConversion"/>
  </si>
  <si>
    <t>change output param</t>
    <phoneticPr fontId="1" type="noConversion"/>
  </si>
  <si>
    <t>change input param</t>
    <phoneticPr fontId="1" type="noConversion"/>
  </si>
  <si>
    <t>change channel order</t>
    <phoneticPr fontId="1" type="noConversion"/>
  </si>
  <si>
    <t>wait</t>
    <phoneticPr fontId="1" type="noConversion"/>
  </si>
  <si>
    <t>Stage 4 Left</t>
    <phoneticPr fontId="1" type="noConversion"/>
  </si>
  <si>
    <t>Stage 4 Right</t>
    <phoneticPr fontId="1" type="noConversion"/>
  </si>
  <si>
    <t>Stage 4 SU1</t>
    <phoneticPr fontId="1" type="noConversion"/>
  </si>
  <si>
    <t>Stage 4 SU2</t>
    <phoneticPr fontId="1" type="noConversion"/>
  </si>
  <si>
    <t>Stage 4 SU3</t>
    <phoneticPr fontId="1" type="noConversion"/>
  </si>
  <si>
    <t>finish</t>
    <phoneticPr fontId="1" type="noConversion"/>
  </si>
  <si>
    <t>End</t>
    <phoneticPr fontId="1" type="noConversion"/>
  </si>
  <si>
    <t>000</t>
    <phoneticPr fontId="1" type="noConversion"/>
  </si>
  <si>
    <t>010</t>
    <phoneticPr fontId="1" type="noConversion"/>
  </si>
  <si>
    <t>020</t>
    <phoneticPr fontId="1" type="noConversion"/>
  </si>
  <si>
    <t>030</t>
    <phoneticPr fontId="1" type="noConversion"/>
  </si>
  <si>
    <t>040</t>
    <phoneticPr fontId="1" type="noConversion"/>
  </si>
  <si>
    <t>200</t>
    <phoneticPr fontId="1" type="noConversion"/>
  </si>
  <si>
    <t>Set up</t>
    <phoneticPr fontId="1" type="noConversion"/>
  </si>
  <si>
    <t>idle</t>
    <phoneticPr fontId="1" type="noConversion"/>
  </si>
  <si>
    <t>220</t>
    <phoneticPr fontId="1" type="noConversion"/>
  </si>
  <si>
    <t>run VLIW</t>
    <phoneticPr fontId="1" type="noConversion"/>
  </si>
  <si>
    <t>210</t>
    <phoneticPr fontId="1" type="noConversion"/>
  </si>
  <si>
    <t>change buffer sel</t>
  </si>
  <si>
    <t>230</t>
    <phoneticPr fontId="1" type="noConversion"/>
  </si>
  <si>
    <t>110</t>
  </si>
  <si>
    <t>15</t>
    <phoneticPr fontId="1" type="noConversion"/>
  </si>
  <si>
    <t>0100</t>
    <phoneticPr fontId="1" type="noConversion"/>
  </si>
  <si>
    <t>14</t>
    <phoneticPr fontId="1" type="noConversion"/>
  </si>
  <si>
    <t>change cycle param</t>
    <phoneticPr fontId="1" type="noConversion"/>
  </si>
  <si>
    <t>0111</t>
    <phoneticPr fontId="1" type="noConversion"/>
  </si>
  <si>
    <t>1100</t>
    <phoneticPr fontId="1" type="noConversion"/>
  </si>
  <si>
    <t>652</t>
    <phoneticPr fontId="1" type="noConversion"/>
  </si>
  <si>
    <t>get weight</t>
  </si>
  <si>
    <t>wait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</si>
</sst>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right" vertical="center"/>
    </xf>
    <xf numFmtId="49" fontId="0" fillId="0" borderId="0" xfId="0" applyNumberFormat="1" applyAlignment="1">
      <alignment horizontal="right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0E05F-0953-48CC-8638-0C061E6FCE68}">
  <dimension ref="A1:R37"/>
  <sheetViews>
    <sheetView tabSelected="1" zoomScale="85" zoomScaleNormal="85" workbookViewId="0">
      <selection activeCell="B12" sqref="B12"/>
    </sheetView>
  </sheetViews>
  <sheetFormatPr defaultColWidth="8.796875" defaultRowHeight="16.149999999999999" x14ac:dyDescent="0.45"/>
  <cols>
    <col min="1" max="1" width="21.46484375" style="1" customWidth="1"/>
    <col min="2" max="2" width="8.796875" style="1"/>
    <col min="3" max="3" width="26.46484375" style="1" customWidth="1"/>
    <col min="4" max="10" width="8.796875" style="1"/>
    <col min="11" max="11" width="15.1328125" style="1" customWidth="1"/>
    <col min="12" max="12" width="8.796875" style="1"/>
    <col min="13" max="13" width="12.1328125" style="1" customWidth="1"/>
    <col min="14" max="16384" width="8.796875" style="1"/>
  </cols>
  <sheetData>
    <row r="1" spans="1:18" x14ac:dyDescent="0.45">
      <c r="A1" s="2"/>
      <c r="B1" s="2" t="s">
        <v>4</v>
      </c>
      <c r="C1" s="2" t="s">
        <v>0</v>
      </c>
      <c r="D1" s="2" t="s">
        <v>1</v>
      </c>
      <c r="E1" s="8" t="s">
        <v>2</v>
      </c>
      <c r="F1" s="8"/>
      <c r="G1" s="8" t="s">
        <v>3</v>
      </c>
      <c r="H1" s="8"/>
      <c r="O1" s="7"/>
      <c r="P1" s="7"/>
      <c r="Q1" s="7"/>
      <c r="R1" s="7"/>
    </row>
    <row r="2" spans="1:18" x14ac:dyDescent="0.45">
      <c r="A2" s="7" t="s">
        <v>23</v>
      </c>
      <c r="B2" s="1">
        <v>0</v>
      </c>
      <c r="C2" s="1" t="s">
        <v>24</v>
      </c>
      <c r="D2" s="1" t="s">
        <v>22</v>
      </c>
      <c r="E2" s="3"/>
      <c r="F2" s="3"/>
      <c r="G2" s="3"/>
      <c r="H2" s="3"/>
      <c r="K2"/>
      <c r="N2" s="2"/>
    </row>
    <row r="3" spans="1:18" x14ac:dyDescent="0.45">
      <c r="A3" s="7"/>
      <c r="B3" s="1">
        <f>B2+1</f>
        <v>1</v>
      </c>
      <c r="C3" s="1" t="s">
        <v>24</v>
      </c>
      <c r="D3" s="1" t="s">
        <v>22</v>
      </c>
      <c r="E3" s="3"/>
      <c r="F3" s="3"/>
      <c r="G3" s="3"/>
      <c r="H3" s="3"/>
      <c r="K3"/>
      <c r="N3" s="2"/>
    </row>
    <row r="4" spans="1:18" s="5" customFormat="1" x14ac:dyDescent="0.45">
      <c r="A4" s="7"/>
      <c r="B4" s="1">
        <f>B3+1</f>
        <v>2</v>
      </c>
      <c r="C4" s="1" t="s">
        <v>24</v>
      </c>
      <c r="D4" s="1" t="s">
        <v>22</v>
      </c>
      <c r="E4" s="3"/>
      <c r="F4" s="3"/>
      <c r="G4" s="3"/>
      <c r="H4" s="3"/>
      <c r="K4"/>
      <c r="N4" s="6"/>
    </row>
    <row r="5" spans="1:18" s="5" customFormat="1" x14ac:dyDescent="0.45">
      <c r="A5" s="7"/>
      <c r="B5" s="5">
        <f t="shared" ref="B5:B6" si="0">B4+1</f>
        <v>3</v>
      </c>
      <c r="C5" s="5" t="s">
        <v>38</v>
      </c>
      <c r="D5" s="5">
        <v>110</v>
      </c>
      <c r="E5" s="3"/>
      <c r="F5" s="3">
        <v>108</v>
      </c>
      <c r="G5" s="3">
        <v>1</v>
      </c>
      <c r="H5" s="3">
        <v>4</v>
      </c>
      <c r="K5"/>
      <c r="N5" s="6"/>
    </row>
    <row r="6" spans="1:18" s="5" customFormat="1" x14ac:dyDescent="0.45">
      <c r="A6" s="7"/>
      <c r="B6" s="5">
        <f t="shared" si="0"/>
        <v>4</v>
      </c>
      <c r="C6" s="5" t="s">
        <v>34</v>
      </c>
      <c r="D6" s="6" t="s">
        <v>20</v>
      </c>
      <c r="E6" s="3"/>
      <c r="F6" s="3" t="s">
        <v>31</v>
      </c>
      <c r="K6"/>
      <c r="N6" s="6"/>
    </row>
    <row r="7" spans="1:18" x14ac:dyDescent="0.45">
      <c r="A7" s="7"/>
      <c r="B7" s="5">
        <f t="shared" ref="B7:B10" si="1">B6+1</f>
        <v>5</v>
      </c>
      <c r="C7" s="5" t="s">
        <v>39</v>
      </c>
      <c r="D7" s="5">
        <v>220</v>
      </c>
      <c r="E7" s="3"/>
      <c r="F7" s="3"/>
      <c r="G7" s="3"/>
      <c r="H7" s="3"/>
      <c r="K7"/>
      <c r="N7" s="2"/>
    </row>
    <row r="8" spans="1:18" x14ac:dyDescent="0.45">
      <c r="A8" s="7" t="s">
        <v>10</v>
      </c>
      <c r="B8" s="5">
        <f t="shared" si="1"/>
        <v>6</v>
      </c>
      <c r="C8" s="1" t="s">
        <v>5</v>
      </c>
      <c r="D8" s="1" t="s">
        <v>30</v>
      </c>
      <c r="E8" s="3"/>
      <c r="F8" s="3">
        <v>204</v>
      </c>
      <c r="G8" s="3">
        <v>0</v>
      </c>
      <c r="H8" s="3">
        <v>6</v>
      </c>
    </row>
    <row r="9" spans="1:18" x14ac:dyDescent="0.45">
      <c r="A9" s="7"/>
      <c r="B9" s="5">
        <f t="shared" si="1"/>
        <v>7</v>
      </c>
      <c r="C9" s="1" t="s">
        <v>6</v>
      </c>
      <c r="D9" s="1" t="s">
        <v>17</v>
      </c>
      <c r="E9" s="3"/>
      <c r="F9" s="3">
        <v>1</v>
      </c>
      <c r="G9" s="3">
        <v>7</v>
      </c>
      <c r="H9" s="3">
        <v>3</v>
      </c>
    </row>
    <row r="10" spans="1:18" x14ac:dyDescent="0.45">
      <c r="A10" s="7"/>
      <c r="B10" s="5">
        <f t="shared" si="1"/>
        <v>8</v>
      </c>
      <c r="C10" s="1" t="s">
        <v>7</v>
      </c>
      <c r="D10" s="1" t="s">
        <v>18</v>
      </c>
      <c r="E10" s="3"/>
      <c r="F10" s="3">
        <v>1</v>
      </c>
      <c r="G10" s="3">
        <v>3</v>
      </c>
      <c r="H10" s="3">
        <v>3</v>
      </c>
    </row>
    <row r="11" spans="1:18" x14ac:dyDescent="0.45">
      <c r="A11" s="7"/>
      <c r="B11" s="1">
        <f t="shared" ref="B11:B37" si="2">B10+1</f>
        <v>9</v>
      </c>
      <c r="C11" s="1" t="s">
        <v>28</v>
      </c>
      <c r="D11" s="1" t="s">
        <v>19</v>
      </c>
      <c r="E11" s="3"/>
      <c r="F11" s="4" t="s">
        <v>35</v>
      </c>
      <c r="G11" s="3"/>
      <c r="H11" s="3"/>
    </row>
    <row r="12" spans="1:18" x14ac:dyDescent="0.45">
      <c r="A12" s="7"/>
      <c r="B12" s="1">
        <f t="shared" si="2"/>
        <v>10</v>
      </c>
      <c r="C12" s="1" t="s">
        <v>8</v>
      </c>
      <c r="D12" s="1" t="s">
        <v>21</v>
      </c>
      <c r="E12" s="3"/>
      <c r="F12" s="3">
        <v>652</v>
      </c>
      <c r="G12" s="3"/>
      <c r="H12" s="3">
        <v>748</v>
      </c>
    </row>
    <row r="13" spans="1:18" x14ac:dyDescent="0.45">
      <c r="A13" s="7"/>
      <c r="B13" s="1">
        <f t="shared" si="2"/>
        <v>11</v>
      </c>
      <c r="C13" s="1" t="s">
        <v>26</v>
      </c>
      <c r="D13" s="1" t="s">
        <v>27</v>
      </c>
      <c r="E13" s="3"/>
      <c r="F13" s="3">
        <v>583</v>
      </c>
      <c r="G13" s="3"/>
      <c r="H13" s="3" t="s">
        <v>33</v>
      </c>
    </row>
    <row r="14" spans="1:18" x14ac:dyDescent="0.45">
      <c r="A14" s="7"/>
      <c r="B14" s="1">
        <f t="shared" si="2"/>
        <v>12</v>
      </c>
      <c r="C14" s="1" t="s">
        <v>9</v>
      </c>
      <c r="D14" s="1" t="s">
        <v>25</v>
      </c>
      <c r="E14" s="3"/>
      <c r="F14" s="3"/>
      <c r="G14" s="3"/>
      <c r="H14" s="3"/>
    </row>
    <row r="15" spans="1:18" x14ac:dyDescent="0.45">
      <c r="A15" s="7" t="s">
        <v>11</v>
      </c>
      <c r="B15" s="1">
        <f t="shared" si="2"/>
        <v>13</v>
      </c>
      <c r="C15" s="1" t="s">
        <v>5</v>
      </c>
      <c r="D15" s="1" t="s">
        <v>30</v>
      </c>
      <c r="E15" s="3"/>
      <c r="F15" s="3">
        <v>204</v>
      </c>
      <c r="G15" s="3">
        <v>1</v>
      </c>
      <c r="H15" s="3">
        <v>6</v>
      </c>
    </row>
    <row r="16" spans="1:18" x14ac:dyDescent="0.45">
      <c r="A16" s="7"/>
      <c r="B16" s="1">
        <f t="shared" si="2"/>
        <v>14</v>
      </c>
      <c r="C16" s="1" t="s">
        <v>6</v>
      </c>
      <c r="D16" s="1" t="s">
        <v>17</v>
      </c>
      <c r="E16" s="3"/>
      <c r="F16" s="3">
        <v>0</v>
      </c>
      <c r="G16" s="3">
        <v>7</v>
      </c>
      <c r="H16" s="3">
        <v>23</v>
      </c>
    </row>
    <row r="17" spans="1:8" x14ac:dyDescent="0.45">
      <c r="A17" s="7"/>
      <c r="B17" s="1">
        <f t="shared" si="2"/>
        <v>15</v>
      </c>
      <c r="C17" s="1" t="s">
        <v>28</v>
      </c>
      <c r="D17" s="1" t="s">
        <v>19</v>
      </c>
      <c r="E17" s="3"/>
      <c r="F17" s="4" t="s">
        <v>32</v>
      </c>
      <c r="G17" s="3"/>
      <c r="H17" s="3"/>
    </row>
    <row r="18" spans="1:8" x14ac:dyDescent="0.45">
      <c r="A18" s="7"/>
      <c r="B18" s="1">
        <f t="shared" si="2"/>
        <v>16</v>
      </c>
      <c r="C18" s="1" t="s">
        <v>8</v>
      </c>
      <c r="D18" s="1" t="s">
        <v>21</v>
      </c>
      <c r="E18" s="3"/>
      <c r="F18" s="4" t="s">
        <v>37</v>
      </c>
      <c r="G18" s="3"/>
      <c r="H18" s="3">
        <v>844</v>
      </c>
    </row>
    <row r="19" spans="1:8" x14ac:dyDescent="0.45">
      <c r="A19" s="7"/>
      <c r="B19" s="1">
        <f t="shared" si="2"/>
        <v>17</v>
      </c>
      <c r="C19" s="1" t="s">
        <v>26</v>
      </c>
      <c r="D19" s="1" t="s">
        <v>27</v>
      </c>
      <c r="E19" s="3"/>
      <c r="F19" s="3">
        <f>F13+H13+1</f>
        <v>598</v>
      </c>
      <c r="G19" s="3"/>
      <c r="H19" s="3">
        <v>18</v>
      </c>
    </row>
    <row r="20" spans="1:8" x14ac:dyDescent="0.45">
      <c r="A20" s="7"/>
      <c r="B20" s="1">
        <f t="shared" si="2"/>
        <v>18</v>
      </c>
      <c r="C20" s="1" t="s">
        <v>9</v>
      </c>
      <c r="D20" s="1" t="s">
        <v>25</v>
      </c>
      <c r="E20" s="3"/>
      <c r="F20" s="3"/>
      <c r="G20" s="3"/>
      <c r="H20" s="3"/>
    </row>
    <row r="21" spans="1:8" x14ac:dyDescent="0.45">
      <c r="A21" s="7" t="s">
        <v>12</v>
      </c>
      <c r="B21" s="1">
        <f t="shared" si="2"/>
        <v>19</v>
      </c>
      <c r="C21" s="1" t="s">
        <v>5</v>
      </c>
      <c r="D21" s="1" t="s">
        <v>30</v>
      </c>
      <c r="E21" s="3"/>
      <c r="F21" s="3">
        <v>204</v>
      </c>
      <c r="G21" s="3">
        <v>0</v>
      </c>
      <c r="H21" s="3">
        <v>6</v>
      </c>
    </row>
    <row r="22" spans="1:8" x14ac:dyDescent="0.45">
      <c r="A22" s="7"/>
      <c r="B22" s="1">
        <f t="shared" si="2"/>
        <v>20</v>
      </c>
      <c r="C22" s="1" t="s">
        <v>6</v>
      </c>
      <c r="D22" s="1" t="s">
        <v>17</v>
      </c>
      <c r="E22" s="3"/>
      <c r="F22" s="3">
        <v>0</v>
      </c>
      <c r="G22" s="3">
        <v>3</v>
      </c>
      <c r="H22" s="3">
        <v>23</v>
      </c>
    </row>
    <row r="23" spans="1:8" x14ac:dyDescent="0.45">
      <c r="A23" s="7"/>
      <c r="B23" s="1">
        <f t="shared" si="2"/>
        <v>21</v>
      </c>
      <c r="C23" s="1" t="s">
        <v>7</v>
      </c>
      <c r="D23" s="1" t="s">
        <v>18</v>
      </c>
      <c r="E23" s="3"/>
      <c r="F23" s="3">
        <v>1</v>
      </c>
      <c r="G23" s="3">
        <v>3</v>
      </c>
      <c r="H23" s="3">
        <v>3</v>
      </c>
    </row>
    <row r="24" spans="1:8" x14ac:dyDescent="0.45">
      <c r="A24" s="7"/>
      <c r="B24" s="1">
        <f t="shared" si="2"/>
        <v>22</v>
      </c>
      <c r="C24" s="1" t="s">
        <v>28</v>
      </c>
      <c r="D24" s="1" t="s">
        <v>19</v>
      </c>
      <c r="E24" s="3"/>
      <c r="F24" s="4">
        <v>1111</v>
      </c>
      <c r="G24" s="3"/>
      <c r="H24" s="3"/>
    </row>
    <row r="25" spans="1:8" x14ac:dyDescent="0.45">
      <c r="A25" s="7"/>
      <c r="B25" s="1">
        <f t="shared" si="2"/>
        <v>23</v>
      </c>
      <c r="C25" s="1" t="s">
        <v>8</v>
      </c>
      <c r="D25" s="1" t="s">
        <v>21</v>
      </c>
      <c r="E25" s="3"/>
      <c r="F25" s="3">
        <v>940</v>
      </c>
      <c r="G25" s="3"/>
      <c r="H25" s="3">
        <v>940</v>
      </c>
    </row>
    <row r="26" spans="1:8" x14ac:dyDescent="0.45">
      <c r="A26" s="7"/>
      <c r="B26" s="1">
        <f t="shared" si="2"/>
        <v>24</v>
      </c>
      <c r="C26" s="1" t="s">
        <v>26</v>
      </c>
      <c r="D26" s="1" t="s">
        <v>27</v>
      </c>
      <c r="E26" s="3"/>
      <c r="F26" s="3">
        <f>F19+H19+1</f>
        <v>617</v>
      </c>
      <c r="G26" s="3"/>
      <c r="H26" s="3" t="s">
        <v>31</v>
      </c>
    </row>
    <row r="27" spans="1:8" x14ac:dyDescent="0.45">
      <c r="A27" s="7"/>
      <c r="B27" s="1">
        <f t="shared" si="2"/>
        <v>25</v>
      </c>
      <c r="C27" s="1" t="s">
        <v>9</v>
      </c>
      <c r="D27" s="1" t="s">
        <v>25</v>
      </c>
      <c r="E27" s="3"/>
      <c r="F27" s="3"/>
      <c r="G27" s="3"/>
      <c r="H27" s="3"/>
    </row>
    <row r="28" spans="1:8" x14ac:dyDescent="0.45">
      <c r="A28" s="7" t="s">
        <v>13</v>
      </c>
      <c r="B28" s="1">
        <f t="shared" si="2"/>
        <v>26</v>
      </c>
      <c r="C28" s="1" t="s">
        <v>5</v>
      </c>
      <c r="D28" s="1" t="s">
        <v>30</v>
      </c>
      <c r="E28" s="3"/>
      <c r="F28" s="3">
        <v>204</v>
      </c>
      <c r="G28" s="3">
        <v>1</v>
      </c>
      <c r="H28" s="3">
        <v>6</v>
      </c>
    </row>
    <row r="29" spans="1:8" x14ac:dyDescent="0.45">
      <c r="A29" s="7"/>
      <c r="B29" s="1">
        <f t="shared" si="2"/>
        <v>27</v>
      </c>
      <c r="C29" s="1" t="s">
        <v>28</v>
      </c>
      <c r="D29" s="1" t="s">
        <v>19</v>
      </c>
      <c r="E29" s="3"/>
      <c r="F29" s="4" t="s">
        <v>36</v>
      </c>
      <c r="G29" s="3"/>
      <c r="H29" s="3"/>
    </row>
    <row r="30" spans="1:8" x14ac:dyDescent="0.45">
      <c r="A30" s="7"/>
      <c r="B30" s="1">
        <f t="shared" si="2"/>
        <v>28</v>
      </c>
      <c r="C30" s="1" t="s">
        <v>8</v>
      </c>
      <c r="D30" s="1" t="s">
        <v>21</v>
      </c>
      <c r="E30" s="3"/>
      <c r="F30" s="3">
        <v>1036</v>
      </c>
      <c r="G30" s="3"/>
      <c r="H30" s="3">
        <v>1036</v>
      </c>
    </row>
    <row r="31" spans="1:8" x14ac:dyDescent="0.45">
      <c r="A31" s="7"/>
      <c r="B31" s="1">
        <f t="shared" si="2"/>
        <v>29</v>
      </c>
      <c r="C31" s="1" t="s">
        <v>26</v>
      </c>
      <c r="D31" s="1" t="s">
        <v>27</v>
      </c>
      <c r="E31" s="3"/>
      <c r="F31" s="3">
        <f>F26</f>
        <v>617</v>
      </c>
      <c r="G31" s="3"/>
      <c r="H31" s="3" t="s">
        <v>31</v>
      </c>
    </row>
    <row r="32" spans="1:8" x14ac:dyDescent="0.45">
      <c r="A32" s="7"/>
      <c r="B32" s="1">
        <f t="shared" si="2"/>
        <v>30</v>
      </c>
      <c r="C32" s="1" t="s">
        <v>9</v>
      </c>
      <c r="D32" s="1" t="s">
        <v>25</v>
      </c>
      <c r="E32" s="3"/>
      <c r="F32" s="3"/>
      <c r="G32" s="3"/>
      <c r="H32" s="3"/>
    </row>
    <row r="33" spans="1:8" x14ac:dyDescent="0.45">
      <c r="A33" s="7" t="s">
        <v>14</v>
      </c>
      <c r="B33" s="5">
        <f t="shared" si="2"/>
        <v>31</v>
      </c>
      <c r="C33" s="1" t="s">
        <v>28</v>
      </c>
      <c r="D33" s="1" t="s">
        <v>19</v>
      </c>
      <c r="E33" s="3"/>
      <c r="F33" s="4">
        <v>1111</v>
      </c>
      <c r="G33" s="3"/>
      <c r="H33" s="3"/>
    </row>
    <row r="34" spans="1:8" x14ac:dyDescent="0.45">
      <c r="A34" s="7"/>
      <c r="B34" s="5">
        <f t="shared" si="2"/>
        <v>32</v>
      </c>
      <c r="C34" s="1" t="s">
        <v>8</v>
      </c>
      <c r="D34" s="1" t="s">
        <v>21</v>
      </c>
      <c r="E34" s="3"/>
      <c r="F34" s="3">
        <v>1132</v>
      </c>
      <c r="G34" s="3"/>
      <c r="H34" s="3">
        <v>1132</v>
      </c>
    </row>
    <row r="35" spans="1:8" x14ac:dyDescent="0.45">
      <c r="A35" s="7"/>
      <c r="B35" s="5">
        <f t="shared" si="2"/>
        <v>33</v>
      </c>
      <c r="C35" s="1" t="s">
        <v>26</v>
      </c>
      <c r="D35" s="1" t="s">
        <v>27</v>
      </c>
      <c r="E35" s="3"/>
      <c r="F35" s="3">
        <f>F31</f>
        <v>617</v>
      </c>
      <c r="G35" s="3"/>
      <c r="H35" s="3" t="s">
        <v>31</v>
      </c>
    </row>
    <row r="36" spans="1:8" x14ac:dyDescent="0.45">
      <c r="A36" s="7"/>
      <c r="B36" s="5">
        <f t="shared" si="2"/>
        <v>34</v>
      </c>
      <c r="C36" s="1" t="s">
        <v>9</v>
      </c>
      <c r="D36" s="1" t="s">
        <v>25</v>
      </c>
      <c r="E36" s="3"/>
      <c r="F36" s="3"/>
      <c r="G36" s="3"/>
      <c r="H36" s="3"/>
    </row>
    <row r="37" spans="1:8" x14ac:dyDescent="0.45">
      <c r="A37" s="1" t="s">
        <v>16</v>
      </c>
      <c r="B37" s="5">
        <f t="shared" si="2"/>
        <v>35</v>
      </c>
      <c r="C37" s="1" t="s">
        <v>15</v>
      </c>
      <c r="D37" s="1" t="s">
        <v>29</v>
      </c>
      <c r="E37" s="3"/>
      <c r="F37" s="3"/>
      <c r="G37" s="3"/>
      <c r="H37" s="3"/>
    </row>
  </sheetData>
  <mergeCells count="10">
    <mergeCell ref="O1:P1"/>
    <mergeCell ref="Q1:R1"/>
    <mergeCell ref="G1:H1"/>
    <mergeCell ref="E1:F1"/>
    <mergeCell ref="A2:A7"/>
    <mergeCell ref="A15:A20"/>
    <mergeCell ref="A21:A27"/>
    <mergeCell ref="A28:A32"/>
    <mergeCell ref="A33:A36"/>
    <mergeCell ref="A8:A1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 Sun</dc:creator>
  <cp:lastModifiedBy>冠羲 陳</cp:lastModifiedBy>
  <dcterms:created xsi:type="dcterms:W3CDTF">2026-02-13T02:57:12Z</dcterms:created>
  <dcterms:modified xsi:type="dcterms:W3CDTF">2026-03-03T12:24:10Z</dcterms:modified>
</cp:coreProperties>
</file>